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192.168.11.20\行政書士法人チェスター\10.コミッティ\04.書式\■■■■■■コピー用■■■■■■\★初回送付セット\作業用\"/>
    </mc:Choice>
  </mc:AlternateContent>
  <xr:revisionPtr revIDLastSave="0" documentId="13_ncr:1_{BD2F7C6F-4CDA-492F-884A-2C0C82EEACAE}" xr6:coauthVersionLast="47" xr6:coauthVersionMax="47" xr10:uidLastSave="{00000000-0000-0000-0000-000000000000}"/>
  <bookViews>
    <workbookView xWindow="-28920" yWindow="-120" windowWidth="29040" windowHeight="15720" tabRatio="854" xr2:uid="{D9F7CAA8-1D88-412F-A7FD-1F38F70C8D0F}"/>
  </bookViews>
  <sheets>
    <sheet name="基本情報入力" sheetId="1" r:id="rId1"/>
    <sheet name="戸籍収集引継書 " sheetId="20" r:id="rId2"/>
    <sheet name="送付先宛名シール" sheetId="12" r:id="rId3"/>
    <sheet name="送付状" sheetId="3" r:id="rId4"/>
    <sheet name="返送書類リスト" sheetId="4" r:id="rId5"/>
    <sheet name="委任状" sheetId="5" r:id="rId6"/>
    <sheet name="口座凍結確認書" sheetId="6" r:id="rId7"/>
    <sheet name="不動産・金融機関一覧" sheetId="14" r:id="rId8"/>
    <sheet name="【税関与あり】戸籍関係情報" sheetId="9" r:id="rId9"/>
    <sheet name="【税関与なし】相続人連絡先等一覧" sheetId="7" r:id="rId10"/>
    <sheet name="請求方法ご案内(パックのみ)※大和以外" sheetId="10" r:id="rId11"/>
    <sheet name="請求方法ご案内(パックのみ)※金額なし" sheetId="18" r:id="rId12"/>
    <sheet name="実費台紙" sheetId="21" r:id="rId13"/>
  </sheets>
  <definedNames>
    <definedName name="_xlnm._FilterDatabase" localSheetId="4" hidden="1">返送書類リスト!$B$8:$G$8</definedName>
    <definedName name="_xlnm.Print_Area" localSheetId="8">【税関与あり】戸籍関係情報!$A$1:$G$93</definedName>
    <definedName name="_xlnm.Print_Area" localSheetId="9">【税関与なし】相続人連絡先等一覧!$A$1:$G$117</definedName>
    <definedName name="_xlnm.Print_Area" localSheetId="5">委任状!$A$1:$K$47</definedName>
    <definedName name="_xlnm.Print_Area" localSheetId="0">基本情報入力!$A$1:$AD$110</definedName>
    <definedName name="_xlnm.Print_Area" localSheetId="1">'戸籍収集引継書 '!$A$1:$H$30</definedName>
    <definedName name="_xlnm.Print_Area" localSheetId="6">口座凍結確認書!$A$1:$L$35</definedName>
    <definedName name="_xlnm.Print_Area" localSheetId="12">実費台紙!$A$1:$AP$65</definedName>
    <definedName name="_xlnm.Print_Area" localSheetId="3">送付状!$C$1:$Z$31</definedName>
    <definedName name="_xlnm.Print_Area" localSheetId="2">送付先宛名シール!$A$1:$J$60</definedName>
    <definedName name="_xlnm.Print_Area" localSheetId="7">不動産・金融機関一覧!$A$1:$W$79</definedName>
    <definedName name="_xlnm.Print_Area" localSheetId="4">返送書類リスト!$B$1:$G$26</definedName>
    <definedName name="業務リスト">#REF!</definedName>
    <definedName name="新宿">#REF!</definedName>
    <definedName name="相続人リスト">#REF!,#REF!,#REF!,#REF!,#REF!,#REF!</definedName>
    <definedName name="続柄リスト">#REF!</definedName>
    <definedName name="大坂">#REF!</definedName>
    <definedName name="担当">基本情報入力!$J$71:$K$176</definedName>
    <definedName name="担当者リスト">#REF!</definedName>
    <definedName name="担当者情報">#REF!</definedName>
    <definedName name="本店">#REF!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9" i="3" l="1"/>
  <c r="W13" i="3"/>
  <c r="W12" i="3"/>
  <c r="Z11" i="3"/>
  <c r="Z10" i="3"/>
  <c r="C5" i="3"/>
  <c r="B9" i="10"/>
  <c r="H40" i="10"/>
  <c r="H39" i="10"/>
  <c r="H38" i="10"/>
  <c r="H37" i="10"/>
  <c r="H36" i="10"/>
  <c r="A24" i="10"/>
  <c r="G25" i="10" s="1"/>
  <c r="A13" i="10"/>
  <c r="G17" i="10"/>
  <c r="A16" i="10" l="1"/>
  <c r="H20" i="10" s="1"/>
  <c r="D14" i="5"/>
  <c r="AD78" i="1"/>
  <c r="AD72" i="1"/>
  <c r="B9" i="14" l="1"/>
  <c r="B8" i="14"/>
  <c r="B7" i="14"/>
  <c r="R9" i="14"/>
  <c r="R8" i="14"/>
  <c r="R7" i="14"/>
  <c r="J9" i="14"/>
  <c r="J8" i="14"/>
  <c r="J7" i="14"/>
  <c r="R22" i="1"/>
  <c r="Q22" i="1" s="1"/>
  <c r="R23" i="1"/>
  <c r="Q23" i="1" s="1"/>
  <c r="R24" i="1"/>
  <c r="Q24" i="1" s="1"/>
  <c r="R25" i="1"/>
  <c r="Q25" i="1" s="1"/>
  <c r="R26" i="1"/>
  <c r="Q26" i="1" s="1"/>
  <c r="C9" i="4" a="1"/>
  <c r="C9" i="4" s="1"/>
  <c r="G1" i="20"/>
  <c r="E1" i="20"/>
  <c r="C1" i="20"/>
  <c r="A1" i="20"/>
  <c r="E126" i="14"/>
  <c r="E125" i="14"/>
  <c r="E124" i="14"/>
  <c r="E123" i="14"/>
  <c r="A126" i="14" s="1"/>
  <c r="E120" i="14"/>
  <c r="E119" i="14"/>
  <c r="E118" i="14"/>
  <c r="E117" i="14"/>
  <c r="A120" i="14" s="1"/>
  <c r="E114" i="14"/>
  <c r="E113" i="14"/>
  <c r="E112" i="14"/>
  <c r="E111" i="14"/>
  <c r="A114" i="14" s="1"/>
  <c r="E108" i="14"/>
  <c r="E107" i="14"/>
  <c r="E106" i="14"/>
  <c r="E105" i="14"/>
  <c r="A108" i="14" s="1"/>
  <c r="E102" i="14"/>
  <c r="E101" i="14"/>
  <c r="E100" i="14"/>
  <c r="E99" i="14"/>
  <c r="A102" i="14" s="1"/>
  <c r="E96" i="14"/>
  <c r="E95" i="14"/>
  <c r="E94" i="14"/>
  <c r="E93" i="14"/>
  <c r="A96" i="14" s="1"/>
  <c r="E90" i="14"/>
  <c r="E89" i="14"/>
  <c r="E88" i="14"/>
  <c r="E87" i="14"/>
  <c r="A90" i="14" s="1"/>
  <c r="E85" i="14"/>
  <c r="E84" i="14"/>
  <c r="E83" i="14"/>
  <c r="E82" i="14"/>
  <c r="A85" i="14" s="1"/>
  <c r="E79" i="14"/>
  <c r="E78" i="14"/>
  <c r="E77" i="14"/>
  <c r="E76" i="14"/>
  <c r="A79" i="14" s="1"/>
  <c r="E73" i="14"/>
  <c r="E72" i="14"/>
  <c r="E71" i="14"/>
  <c r="E70" i="14"/>
  <c r="A73" i="14" s="1"/>
  <c r="E67" i="14"/>
  <c r="E66" i="14"/>
  <c r="E65" i="14"/>
  <c r="E64" i="14"/>
  <c r="A67" i="14" s="1"/>
  <c r="E61" i="14"/>
  <c r="E60" i="14"/>
  <c r="E59" i="14"/>
  <c r="E58" i="14"/>
  <c r="A61" i="14" s="1"/>
  <c r="E55" i="14"/>
  <c r="E54" i="14"/>
  <c r="E53" i="14"/>
  <c r="E52" i="14"/>
  <c r="A55" i="14" s="1"/>
  <c r="E49" i="14"/>
  <c r="E48" i="14"/>
  <c r="E47" i="14"/>
  <c r="E46" i="14"/>
  <c r="A49" i="14" s="1"/>
  <c r="E44" i="14"/>
  <c r="E43" i="14"/>
  <c r="E42" i="14"/>
  <c r="E41" i="14"/>
  <c r="A44" i="14" s="1"/>
  <c r="E38" i="14"/>
  <c r="E37" i="14"/>
  <c r="E36" i="14"/>
  <c r="E35" i="14"/>
  <c r="A38" i="14" s="1"/>
  <c r="E32" i="14"/>
  <c r="E31" i="14"/>
  <c r="E30" i="14"/>
  <c r="E29" i="14"/>
  <c r="A32" i="14" s="1"/>
  <c r="E26" i="14"/>
  <c r="E25" i="14"/>
  <c r="E24" i="14"/>
  <c r="E23" i="14"/>
  <c r="A26" i="14" s="1"/>
  <c r="E20" i="14"/>
  <c r="E19" i="14"/>
  <c r="E18" i="14"/>
  <c r="E17" i="14"/>
  <c r="A20" i="14" s="1"/>
  <c r="B5" i="20"/>
  <c r="M36" i="12" a="1"/>
  <c r="M36" i="12" s="1"/>
  <c r="B36" i="12" s="1"/>
  <c r="F17" i="4" a="1"/>
  <c r="F17" i="4" s="1"/>
  <c r="G17" i="4" s="1"/>
  <c r="F18" i="4" a="1"/>
  <c r="F18" i="4" s="1"/>
  <c r="G18" i="4" s="1"/>
  <c r="F19" i="4" a="1"/>
  <c r="F19" i="4" s="1"/>
  <c r="G19" i="4" s="1"/>
  <c r="B37" i="12" a="1"/>
  <c r="B37" i="12" s="1"/>
  <c r="B33" i="12" a="1"/>
  <c r="B33" i="12" s="1"/>
  <c r="B35" i="12" a="1"/>
  <c r="B35" i="12" s="1"/>
  <c r="G14" i="9"/>
  <c r="C8" i="7"/>
  <c r="D25" i="3"/>
  <c r="D26" i="3"/>
  <c r="A41" i="5"/>
  <c r="K18" i="18"/>
  <c r="AM2" i="21"/>
  <c r="AG2" i="21"/>
  <c r="W2" i="21"/>
  <c r="N2" i="21"/>
  <c r="I2" i="21"/>
  <c r="B8" i="20"/>
  <c r="B11" i="20"/>
  <c r="A11" i="20"/>
  <c r="B10" i="20"/>
  <c r="B9" i="20"/>
  <c r="B6" i="20"/>
  <c r="B7" i="20"/>
  <c r="B4" i="20"/>
  <c r="B3" i="20"/>
  <c r="E1" i="4"/>
  <c r="C43" i="9"/>
  <c r="C7" i="9"/>
  <c r="C114" i="7"/>
  <c r="C105" i="7"/>
  <c r="C96" i="7"/>
  <c r="C87" i="7"/>
  <c r="C78" i="7"/>
  <c r="C69" i="7"/>
  <c r="C51" i="7"/>
  <c r="C42" i="7"/>
  <c r="C34" i="7"/>
  <c r="C25" i="7"/>
  <c r="C16" i="7"/>
  <c r="C7" i="7"/>
  <c r="H36" i="18"/>
  <c r="H35" i="18"/>
  <c r="H34" i="18"/>
  <c r="H33" i="18"/>
  <c r="H32" i="18"/>
  <c r="G90" i="9"/>
  <c r="G83" i="9"/>
  <c r="G76" i="9"/>
  <c r="G69" i="9"/>
  <c r="G62" i="9"/>
  <c r="G55" i="9"/>
  <c r="G48" i="9"/>
  <c r="G41" i="9"/>
  <c r="G34" i="9"/>
  <c r="G28" i="9"/>
  <c r="G21" i="9"/>
  <c r="C116" i="7"/>
  <c r="C115" i="7"/>
  <c r="G113" i="7"/>
  <c r="C112" i="7"/>
  <c r="G111" i="7"/>
  <c r="C111" i="7"/>
  <c r="C107" i="7"/>
  <c r="C106" i="7"/>
  <c r="G104" i="7"/>
  <c r="C103" i="7"/>
  <c r="G102" i="7"/>
  <c r="C102" i="7"/>
  <c r="C98" i="7"/>
  <c r="C97" i="7"/>
  <c r="G95" i="7"/>
  <c r="C94" i="7"/>
  <c r="G93" i="7"/>
  <c r="C93" i="7"/>
  <c r="C89" i="7"/>
  <c r="C88" i="7"/>
  <c r="G86" i="7"/>
  <c r="C85" i="7"/>
  <c r="G84" i="7"/>
  <c r="C84" i="7"/>
  <c r="C80" i="7"/>
  <c r="C79" i="7"/>
  <c r="G77" i="7"/>
  <c r="C76" i="7"/>
  <c r="G75" i="7"/>
  <c r="C75" i="7"/>
  <c r="C71" i="7"/>
  <c r="C70" i="7"/>
  <c r="G68" i="7"/>
  <c r="C67" i="7"/>
  <c r="G66" i="7"/>
  <c r="C66" i="7"/>
  <c r="C62" i="7"/>
  <c r="C61" i="7"/>
  <c r="C60" i="7"/>
  <c r="G59" i="7"/>
  <c r="C58" i="7"/>
  <c r="G57" i="7"/>
  <c r="C57" i="7"/>
  <c r="C53" i="7"/>
  <c r="C52" i="7"/>
  <c r="G50" i="7"/>
  <c r="C49" i="7"/>
  <c r="G48" i="7"/>
  <c r="C48" i="7"/>
  <c r="C44" i="7"/>
  <c r="C43" i="7"/>
  <c r="G41" i="7"/>
  <c r="C40" i="7"/>
  <c r="G39" i="7"/>
  <c r="C39" i="7"/>
  <c r="C36" i="7"/>
  <c r="C35" i="7"/>
  <c r="G33" i="7"/>
  <c r="C32" i="7"/>
  <c r="G31" i="7"/>
  <c r="C31" i="7"/>
  <c r="C27" i="7"/>
  <c r="C26" i="7"/>
  <c r="G24" i="7"/>
  <c r="C23" i="7"/>
  <c r="G22" i="7"/>
  <c r="C22" i="7"/>
  <c r="D12" i="5"/>
  <c r="G15" i="7"/>
  <c r="C17" i="7"/>
  <c r="C9" i="7"/>
  <c r="G6" i="7"/>
  <c r="G4" i="7"/>
  <c r="C92" i="9"/>
  <c r="C90" i="9"/>
  <c r="G89" i="9"/>
  <c r="C89" i="9"/>
  <c r="C85" i="9"/>
  <c r="C83" i="9"/>
  <c r="G82" i="9"/>
  <c r="C82" i="9"/>
  <c r="C78" i="9"/>
  <c r="C76" i="9"/>
  <c r="G75" i="9"/>
  <c r="C75" i="9"/>
  <c r="C71" i="9"/>
  <c r="C69" i="9"/>
  <c r="G68" i="9"/>
  <c r="C68" i="9"/>
  <c r="C64" i="9"/>
  <c r="C62" i="9"/>
  <c r="G61" i="9"/>
  <c r="C61" i="9"/>
  <c r="C57" i="9"/>
  <c r="C55" i="9"/>
  <c r="G54" i="9"/>
  <c r="C54" i="9"/>
  <c r="C50" i="9"/>
  <c r="C48" i="9"/>
  <c r="G47" i="9"/>
  <c r="C47" i="9"/>
  <c r="C41" i="9"/>
  <c r="G40" i="9"/>
  <c r="C40" i="9"/>
  <c r="C36" i="9"/>
  <c r="C34" i="9"/>
  <c r="G33" i="9"/>
  <c r="C33" i="9"/>
  <c r="C30" i="9"/>
  <c r="C28" i="9"/>
  <c r="G27" i="9"/>
  <c r="C27" i="9"/>
  <c r="C23" i="9"/>
  <c r="C21" i="9"/>
  <c r="G20" i="9"/>
  <c r="C20" i="9"/>
  <c r="C16" i="9"/>
  <c r="C14" i="9"/>
  <c r="C13" i="9"/>
  <c r="G13" i="9"/>
  <c r="C8" i="9"/>
  <c r="C9" i="9"/>
  <c r="G6" i="9"/>
  <c r="G4" i="9"/>
  <c r="C4" i="9"/>
  <c r="C5" i="9"/>
  <c r="B26" i="3" l="1"/>
  <c r="X26" i="3" a="1"/>
  <c r="X26" i="3" s="1"/>
  <c r="B25" i="3"/>
  <c r="X25" i="3" a="1"/>
  <c r="X25" i="3" s="1"/>
  <c r="A22" i="4" a="1"/>
  <c r="A22" i="4" s="1"/>
  <c r="C22" i="4" s="1"/>
  <c r="C26" i="4"/>
  <c r="V3" i="3"/>
  <c r="D27" i="3"/>
  <c r="X27" i="3" s="1" a="1"/>
  <c r="X27" i="3" s="1"/>
  <c r="D28" i="3"/>
  <c r="X28" i="3" s="1" a="1"/>
  <c r="X28" i="3" s="1"/>
  <c r="D19" i="3"/>
  <c r="X19" i="3" s="1" a="1"/>
  <c r="X19" i="3" s="1"/>
  <c r="D20" i="3"/>
  <c r="X20" i="3" s="1" a="1"/>
  <c r="X20" i="3" s="1"/>
  <c r="D21" i="3"/>
  <c r="X21" i="3" s="1" a="1"/>
  <c r="X21" i="3" s="1"/>
  <c r="D22" i="3"/>
  <c r="X22" i="3" s="1" a="1"/>
  <c r="X22" i="3" s="1"/>
  <c r="D23" i="3"/>
  <c r="X23" i="3" s="1" a="1"/>
  <c r="X23" i="3" s="1"/>
  <c r="D24" i="3"/>
  <c r="X24" i="3" s="1" a="1"/>
  <c r="X24" i="3" s="1"/>
  <c r="D18" i="3"/>
  <c r="X18" i="3" s="1" a="1"/>
  <c r="X18" i="3" s="1"/>
  <c r="C39" i="12"/>
  <c r="B27" i="3" l="1"/>
  <c r="Y27" i="3"/>
  <c r="B20" i="3"/>
  <c r="Y20" i="3"/>
  <c r="B28" i="3"/>
  <c r="Y28" i="3"/>
  <c r="F15" i="4" a="1"/>
  <c r="F15" i="4" s="1"/>
  <c r="G15" i="4" s="1"/>
  <c r="F16" i="4" a="1"/>
  <c r="F16" i="4" s="1"/>
  <c r="G16" i="4" s="1"/>
  <c r="F26" i="4" a="1"/>
  <c r="F26" i="4" s="1"/>
  <c r="G26" i="4" s="1" a="1"/>
  <c r="G26" i="4" s="1"/>
  <c r="E26" i="4"/>
  <c r="B19" i="3"/>
  <c r="Y19" i="3"/>
  <c r="B24" i="3"/>
  <c r="Y24" i="3"/>
  <c r="Y23" i="3"/>
  <c r="B23" i="3"/>
  <c r="E17" i="4"/>
  <c r="E19" i="4"/>
  <c r="Y22" i="3"/>
  <c r="B22" i="3"/>
  <c r="Y21" i="3"/>
  <c r="B21" i="3"/>
  <c r="Y18" i="3"/>
  <c r="B18" i="3"/>
  <c r="C25" i="3"/>
  <c r="Y25" i="3"/>
  <c r="F22" i="4" a="1"/>
  <c r="F22" i="4" s="1"/>
  <c r="B22" i="4" s="1"/>
  <c r="C23" i="4"/>
  <c r="F23" i="4" s="1" a="1"/>
  <c r="F23" i="4" s="1"/>
  <c r="C24" i="4"/>
  <c r="C25" i="4"/>
  <c r="A10" i="4"/>
  <c r="A13" i="4"/>
  <c r="A14" i="4"/>
  <c r="F14" i="4" a="1"/>
  <c r="F14" i="4" s="1"/>
  <c r="G14" i="4" s="1"/>
  <c r="E14" i="4"/>
  <c r="F9" i="4" a="1"/>
  <c r="F9" i="4" s="1"/>
  <c r="G9" i="4" s="1"/>
  <c r="A19" i="4"/>
  <c r="A11" i="4"/>
  <c r="A12" i="4"/>
  <c r="A15" i="4"/>
  <c r="A17" i="4"/>
  <c r="A18" i="4"/>
  <c r="E9" i="4"/>
  <c r="A9" i="4"/>
  <c r="A16" i="4"/>
  <c r="C27" i="3"/>
  <c r="C26" i="3"/>
  <c r="Y26" i="3"/>
  <c r="C24" i="3"/>
  <c r="C20" i="3"/>
  <c r="C19" i="3"/>
  <c r="E18" i="4"/>
  <c r="C28" i="3"/>
  <c r="E16" i="4"/>
  <c r="E10" i="4"/>
  <c r="E12" i="4"/>
  <c r="E15" i="4"/>
  <c r="E11" i="4"/>
  <c r="E13" i="4"/>
  <c r="F13" i="4" a="1"/>
  <c r="F13" i="4" s="1"/>
  <c r="F11" i="4" a="1"/>
  <c r="F11" i="4" s="1"/>
  <c r="F12" i="4" a="1"/>
  <c r="F12" i="4" s="1"/>
  <c r="F10" i="4" a="1"/>
  <c r="F10" i="4" s="1"/>
  <c r="C18" i="3"/>
  <c r="C22" i="3"/>
  <c r="C23" i="3"/>
  <c r="C21" i="3"/>
  <c r="F1" i="4" l="1"/>
  <c r="V1" i="14"/>
  <c r="F25" i="4" a="1"/>
  <c r="F25" i="4" s="1"/>
  <c r="G25" i="4" s="1" a="1"/>
  <c r="G25" i="4" s="1"/>
  <c r="F24" i="4" a="1"/>
  <c r="F24" i="4" s="1"/>
  <c r="G24" i="4" s="1" a="1"/>
  <c r="G24" i="4" s="1"/>
  <c r="B26" i="4"/>
  <c r="G23" i="4" a="1"/>
  <c r="G23" i="4" s="1"/>
  <c r="E23" i="4"/>
  <c r="G22" i="4" a="1"/>
  <c r="G22" i="4" s="1"/>
  <c r="E22" i="4"/>
  <c r="G1" i="9"/>
  <c r="G1" i="7"/>
  <c r="K1" i="6"/>
  <c r="J1" i="5"/>
  <c r="E25" i="4"/>
  <c r="E24" i="4"/>
  <c r="B14" i="4"/>
  <c r="B19" i="4"/>
  <c r="B18" i="4"/>
  <c r="B17" i="4"/>
  <c r="G10" i="4"/>
  <c r="B10" i="4"/>
  <c r="B15" i="4"/>
  <c r="G12" i="4"/>
  <c r="B12" i="4"/>
  <c r="G11" i="4"/>
  <c r="B11" i="4"/>
  <c r="G13" i="4"/>
  <c r="B13" i="4"/>
  <c r="B16" i="4"/>
  <c r="B9" i="4"/>
  <c r="E4" i="5"/>
  <c r="H59" i="12"/>
  <c r="G57" i="12"/>
  <c r="G45" i="12"/>
  <c r="G33" i="12"/>
  <c r="C13" i="7"/>
  <c r="C4" i="7"/>
  <c r="B23" i="4" l="1"/>
  <c r="B24" i="4"/>
  <c r="B25" i="4"/>
  <c r="G37" i="12"/>
  <c r="G35" i="12"/>
  <c r="C49" i="12"/>
  <c r="H39" i="12"/>
  <c r="B47" i="12"/>
  <c r="G47" i="12"/>
  <c r="H49" i="12"/>
  <c r="B55" i="12"/>
  <c r="B53" i="12"/>
  <c r="B57" i="12"/>
  <c r="C59" i="12"/>
  <c r="B43" i="12"/>
  <c r="G53" i="12"/>
  <c r="G55" i="12"/>
  <c r="B45" i="12"/>
  <c r="G43" i="12"/>
  <c r="A2" i="14"/>
  <c r="D47" i="5"/>
  <c r="D2" i="6"/>
  <c r="K22" i="10"/>
  <c r="B7" i="12"/>
  <c r="B27" i="12" s="1"/>
  <c r="C9" i="12"/>
  <c r="C29" i="12" s="1"/>
  <c r="B5" i="12"/>
  <c r="B3" i="12"/>
  <c r="G13" i="12" s="1"/>
  <c r="B6" i="12"/>
  <c r="G16" i="12" s="1"/>
  <c r="G17" i="5"/>
  <c r="D44" i="5"/>
  <c r="G13" i="7"/>
  <c r="C18" i="7"/>
  <c r="C14" i="7"/>
  <c r="C5" i="7"/>
  <c r="D43" i="5"/>
  <c r="I5" i="5"/>
  <c r="I6" i="5"/>
  <c r="I7" i="5"/>
  <c r="I8" i="5"/>
  <c r="I4" i="5"/>
  <c r="D11" i="5"/>
  <c r="E8" i="5"/>
  <c r="E7" i="5"/>
  <c r="E6" i="5"/>
  <c r="E5" i="5"/>
  <c r="Y8" i="3"/>
  <c r="H19" i="12" l="1"/>
  <c r="H29" i="12"/>
  <c r="H9" i="12"/>
  <c r="C19" i="12"/>
  <c r="G27" i="12"/>
  <c r="B16" i="12"/>
  <c r="B26" i="12"/>
  <c r="G26" i="12"/>
  <c r="G6" i="12"/>
  <c r="G7" i="12"/>
  <c r="B17" i="12"/>
  <c r="G17" i="12"/>
  <c r="G5" i="12"/>
  <c r="B25" i="12"/>
  <c r="G25" i="12"/>
  <c r="B15" i="12"/>
  <c r="G15" i="12"/>
  <c r="G3" i="12"/>
  <c r="B23" i="12"/>
  <c r="G23" i="12"/>
  <c r="B13" i="12"/>
  <c r="G56" i="12"/>
  <c r="B46" i="12"/>
  <c r="G36" i="12"/>
  <c r="B56" i="12"/>
  <c r="G46" i="1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K037chesterPC</author>
  </authors>
  <commentList>
    <comment ref="A8" authorId="0" shapeId="0" xr:uid="{C2611CF7-F0DC-4098-9FA6-9F2B7B702600}">
      <text>
        <r>
          <rPr>
            <u/>
            <sz val="12"/>
            <color indexed="81"/>
            <rFont val="Meiryo UI"/>
            <family val="3"/>
            <charset val="128"/>
          </rPr>
          <t>すべての項目を入力してください。</t>
        </r>
        <r>
          <rPr>
            <sz val="12"/>
            <color indexed="81"/>
            <rFont val="Meiryo UI"/>
            <family val="3"/>
            <charset val="128"/>
          </rPr>
          <t xml:space="preserve">
但し委任状の日付はブランクのままでも問題ありません。
※送付先2がブランクのままの場合は、宛名シール下6枚が行チェのシールになります（TELは担当①の番号）</t>
        </r>
      </text>
    </comment>
    <comment ref="F8" authorId="0" shapeId="0" xr:uid="{14215B33-6A6E-421A-B970-D90948272028}">
      <text>
        <r>
          <rPr>
            <u/>
            <sz val="12"/>
            <color indexed="81"/>
            <rFont val="Meiryo UI"/>
            <family val="3"/>
            <charset val="128"/>
          </rPr>
          <t>送付したい書類をリストより選択してください。</t>
        </r>
        <r>
          <rPr>
            <sz val="12"/>
            <color indexed="81"/>
            <rFont val="Meiryo UI"/>
            <family val="3"/>
            <charset val="128"/>
          </rPr>
          <t xml:space="preserve">
リスト外の書類を送付する場合は、こちらに入力後、送付状シートへ移動し、通数の修正を行ってください。(1通でよければ修正不要です)
</t>
        </r>
      </text>
    </comment>
    <comment ref="H8" authorId="0" shapeId="0" xr:uid="{E24D122C-463D-4C2A-97CD-54043A020B74}">
      <text>
        <r>
          <rPr>
            <u/>
            <sz val="12"/>
            <color indexed="81"/>
            <rFont val="Meiryo UI"/>
            <family val="3"/>
            <charset val="128"/>
          </rPr>
          <t xml:space="preserve">返送書類リストに表示したい書類に☑をしてください。
</t>
        </r>
        <r>
          <rPr>
            <sz val="12"/>
            <color indexed="81"/>
            <rFont val="Meiryo UI"/>
            <family val="3"/>
            <charset val="128"/>
          </rPr>
          <t xml:space="preserve">
リスト外の書類や、通常返送を依頼しない書類(請求書、返信用封筒)を選択する場合は、こちらに☑後、返送書類リストシートへ移動し、該当項目の詳細、通数を修正ください。
</t>
        </r>
      </text>
    </comment>
    <comment ref="J8" authorId="0" shapeId="0" xr:uid="{15A094BD-9B14-438C-9CAE-C96BD6A414EE}">
      <text>
        <r>
          <rPr>
            <u/>
            <sz val="12"/>
            <color indexed="81"/>
            <rFont val="Meiryo UI"/>
            <family val="3"/>
            <charset val="128"/>
          </rPr>
          <t>返送書類リスト『⒉ご準備いただきたい書類』に表示したい書類を選択してください。</t>
        </r>
        <r>
          <rPr>
            <sz val="12"/>
            <color indexed="81"/>
            <rFont val="Meiryo UI"/>
            <family val="3"/>
            <charset val="128"/>
          </rPr>
          <t xml:space="preserve">
リスト外の書類を記載する場合は、こちらに入力後、返送書類リストシートへ移動し、該当項目の詳細、通数を修正ください。
※法定相続情報一覧図を選択する場合も通数を修正ください。</t>
        </r>
      </text>
    </comment>
    <comment ref="A21" authorId="0" shapeId="0" xr:uid="{4939F557-B0B2-4A01-80D8-760F57274BF5}">
      <text>
        <r>
          <rPr>
            <sz val="12"/>
            <color indexed="81"/>
            <rFont val="Meiryo UI"/>
            <family val="3"/>
            <charset val="128"/>
          </rPr>
          <t>①</t>
        </r>
        <r>
          <rPr>
            <u/>
            <sz val="12"/>
            <color indexed="81"/>
            <rFont val="Meiryo UI"/>
            <family val="3"/>
            <charset val="128"/>
          </rPr>
          <t>初回送付書類準備のタイミングで、わかっている範囲の情報を入力ください</t>
        </r>
        <r>
          <rPr>
            <sz val="12"/>
            <color indexed="81"/>
            <rFont val="Meiryo UI"/>
            <family val="3"/>
            <charset val="128"/>
          </rPr>
          <t xml:space="preserve">
　※代表相続人は初回の委任状にご署名ご捺印いただく相続人　　　　　　　　　　　　　　　　 ※その他の相続人は原則出生順　　　　　　　
　※苗字、名前の間は全角空白　　　　　　　※『〒』マークは省略するが、『-』は必要　　　　　※℡番号の『-』は必要
　※『一』丁目は漢数字　　　　　　　　　　　　※数字は半角
②連</t>
        </r>
        <r>
          <rPr>
            <u/>
            <sz val="12"/>
            <color indexed="81"/>
            <rFont val="Meiryo UI"/>
            <family val="3"/>
            <charset val="128"/>
          </rPr>
          <t>絡先一覧を取得した段階でわかる範囲で追加情報入力してください</t>
        </r>
        <r>
          <rPr>
            <sz val="12"/>
            <color indexed="81"/>
            <rFont val="Meiryo UI"/>
            <family val="3"/>
            <charset val="128"/>
          </rPr>
          <t xml:space="preserve">
③</t>
        </r>
        <r>
          <rPr>
            <u/>
            <sz val="12"/>
            <color indexed="81"/>
            <rFont val="Meiryo UI"/>
            <family val="3"/>
            <charset val="128"/>
          </rPr>
          <t>戸籍担当者さんは、法定相続情報一覧図と同じ情報に更新してください</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<sst xmlns="http://schemas.openxmlformats.org/spreadsheetml/2006/main" count="1106" uniqueCount="607">
  <si>
    <t>顧客コード</t>
    <rPh sb="0" eb="2">
      <t>コキャク</t>
    </rPh>
    <phoneticPr fontId="2"/>
  </si>
  <si>
    <t>プラン</t>
    <phoneticPr fontId="2"/>
  </si>
  <si>
    <t>担当①</t>
    <rPh sb="0" eb="2">
      <t>タントウ</t>
    </rPh>
    <phoneticPr fontId="2"/>
  </si>
  <si>
    <t>被相続人</t>
    <rPh sb="0" eb="4">
      <t>ヒソウゾクニン</t>
    </rPh>
    <phoneticPr fontId="2"/>
  </si>
  <si>
    <t>氏名</t>
    <rPh sb="0" eb="2">
      <t>シメイ</t>
    </rPh>
    <phoneticPr fontId="2"/>
  </si>
  <si>
    <t>住所</t>
    <rPh sb="0" eb="2">
      <t>ジュウショ</t>
    </rPh>
    <phoneticPr fontId="2"/>
  </si>
  <si>
    <t>本籍地</t>
    <rPh sb="0" eb="3">
      <t>ホンセキチ</t>
    </rPh>
    <phoneticPr fontId="2"/>
  </si>
  <si>
    <t>続柄</t>
    <rPh sb="0" eb="2">
      <t>ツヅキガラ</t>
    </rPh>
    <phoneticPr fontId="2"/>
  </si>
  <si>
    <t>浅倉</t>
    <rPh sb="0" eb="2">
      <t>アサクラ</t>
    </rPh>
    <phoneticPr fontId="2"/>
  </si>
  <si>
    <t>藤本</t>
    <rPh sb="0" eb="2">
      <t>フジモト</t>
    </rPh>
    <phoneticPr fontId="2"/>
  </si>
  <si>
    <t>石川</t>
    <rPh sb="0" eb="2">
      <t>イシカワ</t>
    </rPh>
    <phoneticPr fontId="2"/>
  </si>
  <si>
    <t>西田</t>
    <rPh sb="0" eb="2">
      <t>ニシダ</t>
    </rPh>
    <phoneticPr fontId="2"/>
  </si>
  <si>
    <t>池田</t>
    <rPh sb="0" eb="2">
      <t>イケダ</t>
    </rPh>
    <phoneticPr fontId="2"/>
  </si>
  <si>
    <t>吉田</t>
    <rPh sb="0" eb="2">
      <t>ヨシダ</t>
    </rPh>
    <phoneticPr fontId="2"/>
  </si>
  <si>
    <t>川原</t>
    <rPh sb="0" eb="2">
      <t>カワハラ</t>
    </rPh>
    <phoneticPr fontId="2"/>
  </si>
  <si>
    <t>君島</t>
    <rPh sb="0" eb="2">
      <t>キミジマ</t>
    </rPh>
    <phoneticPr fontId="2"/>
  </si>
  <si>
    <t>栗原</t>
    <rPh sb="0" eb="2">
      <t>クリハラ</t>
    </rPh>
    <phoneticPr fontId="2"/>
  </si>
  <si>
    <t>山崎</t>
    <rPh sb="0" eb="2">
      <t>ヤマサキ</t>
    </rPh>
    <phoneticPr fontId="2"/>
  </si>
  <si>
    <t>青柳</t>
    <rPh sb="0" eb="2">
      <t>アオヤギ</t>
    </rPh>
    <phoneticPr fontId="2"/>
  </si>
  <si>
    <t>山口</t>
    <rPh sb="0" eb="2">
      <t>ヤマグチ</t>
    </rPh>
    <phoneticPr fontId="2"/>
  </si>
  <si>
    <t>佐竹</t>
    <rPh sb="0" eb="2">
      <t>サタケ</t>
    </rPh>
    <phoneticPr fontId="2"/>
  </si>
  <si>
    <t>石井</t>
    <rPh sb="0" eb="2">
      <t>イシイ</t>
    </rPh>
    <phoneticPr fontId="2"/>
  </si>
  <si>
    <t>松本</t>
    <rPh sb="0" eb="2">
      <t>マツモト</t>
    </rPh>
    <phoneticPr fontId="2"/>
  </si>
  <si>
    <t>金井</t>
    <rPh sb="0" eb="2">
      <t>カナイ</t>
    </rPh>
    <phoneticPr fontId="2"/>
  </si>
  <si>
    <t>佐野</t>
    <rPh sb="0" eb="2">
      <t>サノ</t>
    </rPh>
    <phoneticPr fontId="2"/>
  </si>
  <si>
    <t>柴田</t>
    <rPh sb="0" eb="2">
      <t>シバタ</t>
    </rPh>
    <phoneticPr fontId="2"/>
  </si>
  <si>
    <t>拠点</t>
    <rPh sb="0" eb="2">
      <t>キョテン</t>
    </rPh>
    <phoneticPr fontId="2"/>
  </si>
  <si>
    <t>東京</t>
    <rPh sb="0" eb="2">
      <t>トウキョウ</t>
    </rPh>
    <phoneticPr fontId="2"/>
  </si>
  <si>
    <t>新宿</t>
    <rPh sb="0" eb="2">
      <t>シンジュク</t>
    </rPh>
    <phoneticPr fontId="2"/>
  </si>
  <si>
    <t>横浜</t>
    <rPh sb="0" eb="2">
      <t>ヨコハマ</t>
    </rPh>
    <phoneticPr fontId="2"/>
  </si>
  <si>
    <t>名古屋</t>
    <rPh sb="0" eb="3">
      <t>ナゴヤ</t>
    </rPh>
    <phoneticPr fontId="2"/>
  </si>
  <si>
    <t>大阪</t>
    <rPh sb="0" eb="2">
      <t>オオサカ</t>
    </rPh>
    <phoneticPr fontId="2"/>
  </si>
  <si>
    <t>相続人②</t>
    <rPh sb="0" eb="2">
      <t>ソウゾク</t>
    </rPh>
    <rPh sb="2" eb="3">
      <t>ニン</t>
    </rPh>
    <phoneticPr fontId="2"/>
  </si>
  <si>
    <t>相続人①(代表)</t>
    <rPh sb="0" eb="3">
      <t>ソウゾクニン</t>
    </rPh>
    <rPh sb="5" eb="7">
      <t>ダイヒョウ</t>
    </rPh>
    <phoneticPr fontId="2"/>
  </si>
  <si>
    <t>相続人③</t>
    <rPh sb="0" eb="2">
      <t>ソウゾク</t>
    </rPh>
    <rPh sb="2" eb="3">
      <t>ニン</t>
    </rPh>
    <phoneticPr fontId="2"/>
  </si>
  <si>
    <t>相続人④</t>
    <rPh sb="0" eb="2">
      <t>ソウゾク</t>
    </rPh>
    <rPh sb="2" eb="3">
      <t>ニン</t>
    </rPh>
    <phoneticPr fontId="2"/>
  </si>
  <si>
    <t>相続人⑤</t>
    <rPh sb="0" eb="2">
      <t>ソウゾク</t>
    </rPh>
    <rPh sb="2" eb="3">
      <t>ニン</t>
    </rPh>
    <phoneticPr fontId="2"/>
  </si>
  <si>
    <t>相続人⑥</t>
    <rPh sb="0" eb="2">
      <t>ソウゾク</t>
    </rPh>
    <rPh sb="2" eb="3">
      <t>ニン</t>
    </rPh>
    <phoneticPr fontId="2"/>
  </si>
  <si>
    <t>相続人⑦</t>
    <rPh sb="0" eb="2">
      <t>ソウゾク</t>
    </rPh>
    <rPh sb="2" eb="3">
      <t>ニン</t>
    </rPh>
    <phoneticPr fontId="2"/>
  </si>
  <si>
    <t>相続人⑧</t>
    <rPh sb="0" eb="2">
      <t>ソウゾク</t>
    </rPh>
    <rPh sb="2" eb="3">
      <t>ニン</t>
    </rPh>
    <phoneticPr fontId="2"/>
  </si>
  <si>
    <t>相続人⑨</t>
    <rPh sb="0" eb="3">
      <t>ソウゾクニン</t>
    </rPh>
    <phoneticPr fontId="2"/>
  </si>
  <si>
    <t>相続人⑩</t>
    <rPh sb="0" eb="3">
      <t>ソウゾクニン</t>
    </rPh>
    <phoneticPr fontId="2"/>
  </si>
  <si>
    <t>顧客名</t>
    <rPh sb="0" eb="2">
      <t>コキャク</t>
    </rPh>
    <rPh sb="2" eb="3">
      <t>メイ</t>
    </rPh>
    <phoneticPr fontId="2"/>
  </si>
  <si>
    <t>基本情報入力</t>
    <rPh sb="0" eb="2">
      <t>キホン</t>
    </rPh>
    <rPh sb="2" eb="4">
      <t>ジョウホウ</t>
    </rPh>
    <rPh sb="4" eb="6">
      <t>ニュウリョク</t>
    </rPh>
    <phoneticPr fontId="2"/>
  </si>
  <si>
    <t>書類送付のご案内</t>
    <phoneticPr fontId="12"/>
  </si>
  <si>
    <t>担当：</t>
    <phoneticPr fontId="12"/>
  </si>
  <si>
    <t>拝啓　平素は格別のご高配を賜り厚く御礼申し上げます。</t>
    <rPh sb="0" eb="2">
      <t>ハイケイ</t>
    </rPh>
    <rPh sb="3" eb="5">
      <t>ヘイソ</t>
    </rPh>
    <rPh sb="6" eb="8">
      <t>カクベツ</t>
    </rPh>
    <rPh sb="10" eb="12">
      <t>コウハイ</t>
    </rPh>
    <rPh sb="13" eb="14">
      <t>タマワ</t>
    </rPh>
    <rPh sb="15" eb="16">
      <t>アツ</t>
    </rPh>
    <rPh sb="17" eb="19">
      <t>オンレイ</t>
    </rPh>
    <rPh sb="19" eb="20">
      <t>モウ</t>
    </rPh>
    <rPh sb="21" eb="22">
      <t>ア</t>
    </rPh>
    <phoneticPr fontId="12"/>
  </si>
  <si>
    <t>さて、本日下記の資料をお届け申し上げましたので、</t>
    <rPh sb="3" eb="5">
      <t>ホンジツ</t>
    </rPh>
    <rPh sb="5" eb="7">
      <t>カキ</t>
    </rPh>
    <rPh sb="8" eb="10">
      <t>シリョウ</t>
    </rPh>
    <rPh sb="12" eb="13">
      <t>トド</t>
    </rPh>
    <rPh sb="14" eb="15">
      <t>モウ</t>
    </rPh>
    <rPh sb="16" eb="17">
      <t>ア</t>
    </rPh>
    <phoneticPr fontId="12"/>
  </si>
  <si>
    <t>御査収いただきますようお願い申し上げます。敬具</t>
    <rPh sb="0" eb="3">
      <t>ゴサシュウ</t>
    </rPh>
    <rPh sb="12" eb="13">
      <t>ネガ</t>
    </rPh>
    <rPh sb="14" eb="15">
      <t>モウ</t>
    </rPh>
    <rPh sb="16" eb="17">
      <t>ア</t>
    </rPh>
    <rPh sb="21" eb="23">
      <t>ケイグ</t>
    </rPh>
    <phoneticPr fontId="12"/>
  </si>
  <si>
    <t>TEL:</t>
    <phoneticPr fontId="12"/>
  </si>
  <si>
    <t>FAX:</t>
    <phoneticPr fontId="12"/>
  </si>
  <si>
    <t>記</t>
    <rPh sb="0" eb="1">
      <t>キ</t>
    </rPh>
    <phoneticPr fontId="12"/>
  </si>
  <si>
    <t>摘要</t>
    <rPh sb="0" eb="2">
      <t>テキヨウ</t>
    </rPh>
    <phoneticPr fontId="12"/>
  </si>
  <si>
    <t>通数（部数）</t>
    <rPh sb="0" eb="2">
      <t>ツウスウ</t>
    </rPh>
    <rPh sb="3" eb="5">
      <t>ブスウ</t>
    </rPh>
    <phoneticPr fontId="12"/>
  </si>
  <si>
    <t>通信欄：</t>
    <rPh sb="0" eb="3">
      <t>ツウシンラン</t>
    </rPh>
    <phoneticPr fontId="12"/>
  </si>
  <si>
    <t>様</t>
  </si>
  <si>
    <t>〒</t>
    <phoneticPr fontId="2"/>
  </si>
  <si>
    <t>TEL</t>
    <phoneticPr fontId="2"/>
  </si>
  <si>
    <t>FAX</t>
    <phoneticPr fontId="2"/>
  </si>
  <si>
    <t>530-0005</t>
    <phoneticPr fontId="2"/>
  </si>
  <si>
    <t>大阪府大阪市北区中之島2-2-2</t>
    <rPh sb="0" eb="11">
      <t>５３０－０００５</t>
    </rPh>
    <phoneticPr fontId="2"/>
  </si>
  <si>
    <t>大阪中之島ビル13階</t>
    <rPh sb="0" eb="2">
      <t>オオサカ</t>
    </rPh>
    <rPh sb="2" eb="5">
      <t>ナカノシマ</t>
    </rPh>
    <rPh sb="9" eb="10">
      <t>カイ</t>
    </rPh>
    <phoneticPr fontId="2"/>
  </si>
  <si>
    <t>06-7878-4155</t>
    <phoneticPr fontId="2"/>
  </si>
  <si>
    <t>06-7878-8321</t>
    <phoneticPr fontId="2"/>
  </si>
  <si>
    <t>103-0028</t>
    <phoneticPr fontId="2"/>
  </si>
  <si>
    <t>東京都中央区八重洲1-7-20</t>
    <phoneticPr fontId="2"/>
  </si>
  <si>
    <t>八重洲口会館2階</t>
    <phoneticPr fontId="2"/>
  </si>
  <si>
    <t>03-6868-8328</t>
    <phoneticPr fontId="2"/>
  </si>
  <si>
    <t>03-6869-5041</t>
    <phoneticPr fontId="2"/>
  </si>
  <si>
    <t>163-0722</t>
    <phoneticPr fontId="2"/>
  </si>
  <si>
    <t>東京都新宿区西新宿2-7-1</t>
    <phoneticPr fontId="2"/>
  </si>
  <si>
    <t>新宿第一生命ビル22階</t>
    <phoneticPr fontId="2"/>
  </si>
  <si>
    <t>03-6868-8941</t>
    <phoneticPr fontId="2"/>
  </si>
  <si>
    <t>221-0835</t>
    <phoneticPr fontId="2"/>
  </si>
  <si>
    <t>045-550-4249</t>
    <phoneticPr fontId="2"/>
  </si>
  <si>
    <t>460-0008</t>
    <phoneticPr fontId="2"/>
  </si>
  <si>
    <t>愛知県名古屋市中区栄3-2-3</t>
    <phoneticPr fontId="2"/>
  </si>
  <si>
    <t>名古屋日興證券ビル6階</t>
    <phoneticPr fontId="2"/>
  </si>
  <si>
    <t>052-766-5024</t>
    <phoneticPr fontId="2"/>
  </si>
  <si>
    <t>03-6869-4741</t>
    <phoneticPr fontId="2"/>
  </si>
  <si>
    <t>045-550-3899</t>
    <phoneticPr fontId="2"/>
  </si>
  <si>
    <t>052-766-6451</t>
    <phoneticPr fontId="2"/>
  </si>
  <si>
    <t>返送書類リスト</t>
    <rPh sb="0" eb="2">
      <t>ヘンソウ</t>
    </rPh>
    <rPh sb="2" eb="4">
      <t>ショルイ</t>
    </rPh>
    <phoneticPr fontId="2"/>
  </si>
  <si>
    <t>☑</t>
    <phoneticPr fontId="2"/>
  </si>
  <si>
    <t>印鑑証明書数</t>
    <rPh sb="0" eb="5">
      <t>インカンショウメイショ</t>
    </rPh>
    <rPh sb="5" eb="6">
      <t>スウ</t>
    </rPh>
    <phoneticPr fontId="2"/>
  </si>
  <si>
    <t>名称</t>
    <rPh sb="0" eb="2">
      <t>メイショウ</t>
    </rPh>
    <phoneticPr fontId="2"/>
  </si>
  <si>
    <t>□</t>
    <phoneticPr fontId="2"/>
  </si>
  <si>
    <t>主たる事務所所在</t>
    <phoneticPr fontId="2"/>
  </si>
  <si>
    <t>従たる事務所所在</t>
    <phoneticPr fontId="2"/>
  </si>
  <si>
    <t>行政書士法人チェスター</t>
  </si>
  <si>
    <t>代表社員</t>
  </si>
  <si>
    <t>行政書士</t>
  </si>
  <si>
    <t>補助者</t>
  </si>
  <si>
    <t>行政書士</t>
    <rPh sb="0" eb="2">
      <t>ギョウセイ</t>
    </rPh>
    <rPh sb="2" eb="4">
      <t>ショシ</t>
    </rPh>
    <phoneticPr fontId="2"/>
  </si>
  <si>
    <t>補助者</t>
    <rPh sb="0" eb="3">
      <t>ホジョシャ</t>
    </rPh>
    <phoneticPr fontId="2"/>
  </si>
  <si>
    <t>全員</t>
    <rPh sb="0" eb="2">
      <t>ゼンイン</t>
    </rPh>
    <phoneticPr fontId="2"/>
  </si>
  <si>
    <t>代表</t>
    <rPh sb="0" eb="2">
      <t>ダイヒョウ</t>
    </rPh>
    <phoneticPr fontId="2"/>
  </si>
  <si>
    <t>浅倉貴行　</t>
    <phoneticPr fontId="2"/>
  </si>
  <si>
    <t>西田竜介　</t>
    <phoneticPr fontId="2"/>
  </si>
  <si>
    <t>藤本義昌　</t>
    <phoneticPr fontId="2"/>
  </si>
  <si>
    <t>石川綾子　</t>
    <phoneticPr fontId="2"/>
  </si>
  <si>
    <t>吉田幸寛　</t>
    <phoneticPr fontId="2"/>
  </si>
  <si>
    <t>金井佑介　</t>
    <phoneticPr fontId="2"/>
  </si>
  <si>
    <t>　</t>
    <phoneticPr fontId="2"/>
  </si>
  <si>
    <t>池田絢音　</t>
    <rPh sb="0" eb="2">
      <t>イケダ</t>
    </rPh>
    <rPh sb="2" eb="4">
      <t>アヤネ</t>
    </rPh>
    <phoneticPr fontId="2"/>
  </si>
  <si>
    <t>増田千尋　</t>
    <rPh sb="0" eb="2">
      <t>マスダ</t>
    </rPh>
    <rPh sb="2" eb="4">
      <t>チヒロ</t>
    </rPh>
    <phoneticPr fontId="2"/>
  </si>
  <si>
    <t>川原千里　</t>
    <rPh sb="0" eb="2">
      <t>カワハラ</t>
    </rPh>
    <rPh sb="2" eb="4">
      <t>チサト</t>
    </rPh>
    <phoneticPr fontId="2"/>
  </si>
  <si>
    <t>山崎宇紗子　</t>
    <rPh sb="0" eb="2">
      <t>ヤマサキ</t>
    </rPh>
    <rPh sb="2" eb="3">
      <t>ウ</t>
    </rPh>
    <rPh sb="3" eb="5">
      <t>サエコ</t>
    </rPh>
    <phoneticPr fontId="2"/>
  </si>
  <si>
    <t>君島絵梨　</t>
    <rPh sb="0" eb="2">
      <t>キミジマ</t>
    </rPh>
    <rPh sb="2" eb="4">
      <t>エリ</t>
    </rPh>
    <phoneticPr fontId="2"/>
  </si>
  <si>
    <t>青柳由里子　</t>
    <rPh sb="0" eb="2">
      <t>アオヤギ</t>
    </rPh>
    <rPh sb="2" eb="5">
      <t>ユリコ</t>
    </rPh>
    <phoneticPr fontId="2"/>
  </si>
  <si>
    <t>山口知代　</t>
    <rPh sb="0" eb="2">
      <t>ヤマグチ</t>
    </rPh>
    <rPh sb="2" eb="4">
      <t>トモヨ</t>
    </rPh>
    <phoneticPr fontId="2"/>
  </si>
  <si>
    <t>増田波輝　</t>
    <rPh sb="0" eb="2">
      <t>マスダ</t>
    </rPh>
    <rPh sb="2" eb="3">
      <t>ナミ</t>
    </rPh>
    <rPh sb="3" eb="4">
      <t>テル</t>
    </rPh>
    <phoneticPr fontId="2"/>
  </si>
  <si>
    <t>佐竹彩　</t>
    <rPh sb="0" eb="2">
      <t>サタケ</t>
    </rPh>
    <rPh sb="2" eb="3">
      <t>アヤ</t>
    </rPh>
    <phoneticPr fontId="2"/>
  </si>
  <si>
    <t>佐野雅絵　</t>
    <rPh sb="0" eb="2">
      <t>サノ</t>
    </rPh>
    <rPh sb="2" eb="4">
      <t>マサエ</t>
    </rPh>
    <phoneticPr fontId="2"/>
  </si>
  <si>
    <t>委任事項の内容</t>
    <phoneticPr fontId="2"/>
  </si>
  <si>
    <t>①</t>
    <phoneticPr fontId="2"/>
  </si>
  <si>
    <t>②</t>
    <phoneticPr fontId="2"/>
  </si>
  <si>
    <t>被相続人作成の遺言の有無の調査、遺言公正証書の謄本の請求及び受領に関する一切の件</t>
  </si>
  <si>
    <t>官公署に対する諸手続、その他戸籍・除籍・原戸籍・戸籍の附票（本籍・筆頭者記載）、住民票（本籍・筆頭者・世帯主・続柄記載）、固定資産税評価証明書・固定資産名寄台帳の写し・農地基本台帳等（単有及び共有する全ての物件について）の申請並びに受領に関する一切の件</t>
  </si>
  <si>
    <t>③</t>
    <phoneticPr fontId="2"/>
  </si>
  <si>
    <t>④</t>
    <phoneticPr fontId="2"/>
  </si>
  <si>
    <t>金融機関、ゆうちょ銀行、証券会社、保険会社、かんぽ生命その他法人等に対する、現存照会または取引履歴・入出金照会、残高証明の請求及び受領、各種書類または証書類の提出および受領、預貯金の解約、被相続人が行っていた契約（契約に類する約定を含む）の承継・変更・解約、貸金庫取引の解約並びに保管物の代表相続人への引渡、株式・有価証券等寄託物件の返還または相続移管並びに受渡、払戻金・満期金・株式配当金・出資金・保険金・還付金・給付金・売却代金等の請求、連絡、照会、その他預貯金・生命保険・株式・有価証券類の一切の相続手続</t>
  </si>
  <si>
    <t>⑤</t>
    <phoneticPr fontId="2"/>
  </si>
  <si>
    <t>相続人が行なうべき前各号の事務について必要な調査ならびに助言</t>
  </si>
  <si>
    <t>その他、相続財産の承継のため必要な一切の事務</t>
    <phoneticPr fontId="2"/>
  </si>
  <si>
    <t>⑥</t>
    <phoneticPr fontId="2"/>
  </si>
  <si>
    <t>⑦</t>
    <phoneticPr fontId="2"/>
  </si>
  <si>
    <t>⑧</t>
    <phoneticPr fontId="2"/>
  </si>
  <si>
    <t>名称</t>
    <phoneticPr fontId="2"/>
  </si>
  <si>
    <t>下記事務他一切の事務を処理する権限を委任します。</t>
    <phoneticPr fontId="2"/>
  </si>
  <si>
    <t>証券保管振替機構に対する、上記被相続人及び私の登録済加入者情報に関する開示請求及びその情報を記載した「登録済加入者情報通知書」の受領等に係る一切の件</t>
    <phoneticPr fontId="2"/>
  </si>
  <si>
    <t>⑨</t>
    <phoneticPr fontId="2"/>
  </si>
  <si>
    <t>前各号の事務処理を行うために必要とされる復代理人選任に関する一切の件</t>
    <phoneticPr fontId="2"/>
  </si>
  <si>
    <t>本状及び添付書類の還付請求並びにその受領に関する一切の件</t>
  </si>
  <si>
    <t>⑩</t>
    <phoneticPr fontId="2"/>
  </si>
  <si>
    <t>住所1</t>
    <rPh sb="0" eb="2">
      <t>ジュウショ</t>
    </rPh>
    <phoneticPr fontId="2"/>
  </si>
  <si>
    <t>住所2</t>
    <rPh sb="0" eb="2">
      <t>ジュウショ</t>
    </rPh>
    <phoneticPr fontId="2"/>
  </si>
  <si>
    <r>
      <t>以下の事項をご確認いただけましたら、□ にチェック（</t>
    </r>
    <r>
      <rPr>
        <sz val="11"/>
        <color theme="1"/>
        <rFont val="Segoe UI Symbol"/>
        <family val="1"/>
      </rPr>
      <t>✔</t>
    </r>
    <r>
      <rPr>
        <sz val="11"/>
        <color theme="1"/>
        <rFont val="游明朝"/>
        <family val="1"/>
        <charset val="128"/>
      </rPr>
      <t>）をご記入ください。</t>
    </r>
    <phoneticPr fontId="2"/>
  </si>
  <si>
    <t>口座凍結を行うと、すべてのお取引が停止します。</t>
    <phoneticPr fontId="2"/>
  </si>
  <si>
    <t>各種お支払いのお引き落とし口座に指定されている場合は、お引き落とし口座の変更のお手続きが必要となります。</t>
    <phoneticPr fontId="2"/>
  </si>
  <si>
    <t>金融機関により通帳の記帳もできなくなる場合がございます。</t>
    <phoneticPr fontId="2"/>
  </si>
  <si>
    <t>貸金庫がある場合は貸金庫も凍結され、ご相続人様全員が署名捺印済みの当該金融機関所定の書類や、ご相続人様全員の印鑑証明書等を当該金融機関へご提出をいただくまでは、開扉できなくなります。</t>
    <phoneticPr fontId="2"/>
  </si>
  <si>
    <t>⒈</t>
    <phoneticPr fontId="2"/>
  </si>
  <si>
    <t>口座凍結の確認事項</t>
    <phoneticPr fontId="2"/>
  </si>
  <si>
    <t>⒉</t>
    <phoneticPr fontId="2"/>
  </si>
  <si>
    <t>口座凍結の時期</t>
    <phoneticPr fontId="2"/>
  </si>
  <si>
    <t>【証券口座凍結の時期】</t>
  </si>
  <si>
    <t>口座を凍結して問題ありません。</t>
    <phoneticPr fontId="2"/>
  </si>
  <si>
    <t xml:space="preserve"> 年 　月 　日以降でしたら口座凍結して問題ありません。</t>
    <phoneticPr fontId="2"/>
  </si>
  <si>
    <t>【銀行口座凍結の時期】</t>
    <phoneticPr fontId="2"/>
  </si>
  <si>
    <t>上記の内容を承諾いたします。</t>
    <phoneticPr fontId="2"/>
  </si>
  <si>
    <t>令和　　　年　　　月　　　日</t>
    <phoneticPr fontId="2"/>
  </si>
  <si>
    <r>
      <t>氏名</t>
    </r>
    <r>
      <rPr>
        <u/>
        <sz val="11"/>
        <color theme="1"/>
        <rFont val="游明朝"/>
        <family val="1"/>
        <charset val="128"/>
      </rPr>
      <t>　　　　　　　　　　　　　　　　</t>
    </r>
  </si>
  <si>
    <t>行政書士法人チェスター　御中</t>
    <phoneticPr fontId="2"/>
  </si>
  <si>
    <t>様　名義の口座について</t>
    <rPh sb="0" eb="1">
      <t>サマ</t>
    </rPh>
    <phoneticPr fontId="2"/>
  </si>
  <si>
    <r>
      <t xml:space="preserve">下記項目の①・②の中から該当する項目をお選びいただき、番号に〇をしてください。なお、②を選択される場合は口座凍結が可能となるお日にちをご記入ください。
</t>
    </r>
    <r>
      <rPr>
        <sz val="9"/>
        <color theme="1"/>
        <rFont val="游明朝"/>
        <family val="1"/>
        <charset val="128"/>
      </rPr>
      <t>　※口座凍結をするまで金融機関のお手続きが開始されません。</t>
    </r>
    <phoneticPr fontId="2"/>
  </si>
  <si>
    <t>被相続人（亡くなられた方）に関する情報</t>
    <rPh sb="0" eb="1">
      <t>ヒ</t>
    </rPh>
    <rPh sb="1" eb="3">
      <t>ソウゾク</t>
    </rPh>
    <rPh sb="3" eb="4">
      <t>ニン</t>
    </rPh>
    <rPh sb="5" eb="6">
      <t>ナ</t>
    </rPh>
    <rPh sb="11" eb="12">
      <t>カタ</t>
    </rPh>
    <rPh sb="14" eb="15">
      <t>カン</t>
    </rPh>
    <rPh sb="17" eb="19">
      <t>ジョウホウ</t>
    </rPh>
    <phoneticPr fontId="2"/>
  </si>
  <si>
    <t>ふりがな</t>
    <phoneticPr fontId="2"/>
  </si>
  <si>
    <t>生年月日</t>
    <rPh sb="0" eb="2">
      <t>セイネン</t>
    </rPh>
    <rPh sb="2" eb="4">
      <t>ガッピ</t>
    </rPh>
    <phoneticPr fontId="2"/>
  </si>
  <si>
    <t>お名前</t>
    <rPh sb="1" eb="3">
      <t>ナマエ</t>
    </rPh>
    <phoneticPr fontId="2"/>
  </si>
  <si>
    <t>ご住所</t>
    <rPh sb="1" eb="3">
      <t>ジュウショ</t>
    </rPh>
    <phoneticPr fontId="2"/>
  </si>
  <si>
    <t>住民票
世帯主</t>
    <rPh sb="0" eb="3">
      <t>ジュウミンヒョウ</t>
    </rPh>
    <rPh sb="4" eb="7">
      <t>セタイヌシ</t>
    </rPh>
    <phoneticPr fontId="2"/>
  </si>
  <si>
    <t>住民票の世帯主は本人</t>
    <rPh sb="0" eb="3">
      <t>ジュウミンヒョウ</t>
    </rPh>
    <rPh sb="4" eb="7">
      <t>セタイヌシ</t>
    </rPh>
    <rPh sb="8" eb="10">
      <t>ホンニン</t>
    </rPh>
    <phoneticPr fontId="2"/>
  </si>
  <si>
    <t>本人以外（お名前：　　 　　　　　　　　　　　　）</t>
    <rPh sb="0" eb="2">
      <t>ホンニン</t>
    </rPh>
    <rPh sb="2" eb="4">
      <t>イガイ</t>
    </rPh>
    <phoneticPr fontId="2"/>
  </si>
  <si>
    <t>戸籍
筆頭者</t>
    <rPh sb="0" eb="2">
      <t>コセキ</t>
    </rPh>
    <rPh sb="3" eb="6">
      <t>ヒットウシャ</t>
    </rPh>
    <phoneticPr fontId="2"/>
  </si>
  <si>
    <t>戸籍の筆頭者は本人</t>
    <rPh sb="0" eb="2">
      <t>コセキ</t>
    </rPh>
    <rPh sb="3" eb="6">
      <t>ヒットウシャ</t>
    </rPh>
    <rPh sb="7" eb="9">
      <t>ホンニン</t>
    </rPh>
    <phoneticPr fontId="2"/>
  </si>
  <si>
    <t>被相続人との続柄</t>
    <rPh sb="0" eb="4">
      <t>ヒソウゾクニン</t>
    </rPh>
    <rPh sb="6" eb="8">
      <t>ツヅキガラ</t>
    </rPh>
    <phoneticPr fontId="2"/>
  </si>
  <si>
    <t>相続人①(代表)</t>
    <rPh sb="0" eb="2">
      <t>ソウゾク</t>
    </rPh>
    <rPh sb="2" eb="3">
      <t>ニン</t>
    </rPh>
    <rPh sb="5" eb="7">
      <t>ダイヒョウ</t>
    </rPh>
    <phoneticPr fontId="2"/>
  </si>
  <si>
    <t>相続人⑨</t>
    <rPh sb="0" eb="2">
      <t>ソウゾク</t>
    </rPh>
    <rPh sb="2" eb="3">
      <t>ニン</t>
    </rPh>
    <phoneticPr fontId="2"/>
  </si>
  <si>
    <t>相続人⑩</t>
    <rPh sb="0" eb="2">
      <t>ソウゾク</t>
    </rPh>
    <rPh sb="2" eb="3">
      <t>ニン</t>
    </rPh>
    <phoneticPr fontId="2"/>
  </si>
  <si>
    <t>相続人⑪</t>
    <rPh sb="0" eb="2">
      <t>ソウゾク</t>
    </rPh>
    <rPh sb="2" eb="3">
      <t>ニン</t>
    </rPh>
    <phoneticPr fontId="2"/>
  </si>
  <si>
    <t>相続人⑫</t>
    <rPh sb="0" eb="2">
      <t>ソウゾク</t>
    </rPh>
    <rPh sb="2" eb="3">
      <t>ニン</t>
    </rPh>
    <phoneticPr fontId="2"/>
  </si>
  <si>
    <t>相続人⑪</t>
    <rPh sb="0" eb="3">
      <t>ソウゾクニン</t>
    </rPh>
    <phoneticPr fontId="2"/>
  </si>
  <si>
    <t>相続人⑫</t>
    <rPh sb="0" eb="3">
      <t>ソウゾクニン</t>
    </rPh>
    <phoneticPr fontId="2"/>
  </si>
  <si>
    <t>【ご請求方法に関するご案内】</t>
    <rPh sb="2" eb="4">
      <t>セイキュウ</t>
    </rPh>
    <rPh sb="4" eb="6">
      <t>ホウホウ</t>
    </rPh>
    <rPh sb="7" eb="8">
      <t>カン</t>
    </rPh>
    <rPh sb="11" eb="13">
      <t>アンナイ</t>
    </rPh>
    <phoneticPr fontId="2"/>
  </si>
  <si>
    <r>
      <t>ご依頼いただきました遺産整理手続き
相続手続きサポートパックでは、</t>
    </r>
    <r>
      <rPr>
        <b/>
        <sz val="20"/>
        <color theme="4" tint="-0.249977111117893"/>
        <rFont val="游ゴシック"/>
        <family val="3"/>
        <charset val="128"/>
        <scheme val="minor"/>
      </rPr>
      <t>３</t>
    </r>
    <r>
      <rPr>
        <b/>
        <sz val="12"/>
        <color theme="4" tint="-0.249977111117893"/>
        <rFont val="游ゴシック"/>
        <family val="3"/>
        <charset val="128"/>
        <scheme val="minor"/>
      </rPr>
      <t>回</t>
    </r>
    <r>
      <rPr>
        <b/>
        <sz val="12"/>
        <color theme="1"/>
        <rFont val="游ゴシック"/>
        <family val="3"/>
        <charset val="128"/>
        <scheme val="minor"/>
      </rPr>
      <t>に分けて請求書をお送りいたします。</t>
    </r>
    <rPh sb="1" eb="3">
      <t>イライ</t>
    </rPh>
    <rPh sb="10" eb="12">
      <t>イサン</t>
    </rPh>
    <rPh sb="12" eb="14">
      <t>セイリ</t>
    </rPh>
    <rPh sb="14" eb="16">
      <t>テツヅ</t>
    </rPh>
    <rPh sb="18" eb="20">
      <t>ソウゾク</t>
    </rPh>
    <rPh sb="20" eb="22">
      <t>テツヅ</t>
    </rPh>
    <rPh sb="34" eb="35">
      <t>カイ</t>
    </rPh>
    <rPh sb="36" eb="37">
      <t>ワ</t>
    </rPh>
    <rPh sb="39" eb="42">
      <t>セイキュウショ</t>
    </rPh>
    <rPh sb="44" eb="45">
      <t>オク</t>
    </rPh>
    <phoneticPr fontId="2"/>
  </si>
  <si>
    <t>【基本報酬】</t>
    <rPh sb="1" eb="3">
      <t>キホン</t>
    </rPh>
    <rPh sb="3" eb="5">
      <t>ホウシュウ</t>
    </rPh>
    <phoneticPr fontId="2"/>
  </si>
  <si>
    <t xml:space="preserve">【ご請求のタイミング】
</t>
    <rPh sb="2" eb="4">
      <t>セイキュウ</t>
    </rPh>
    <phoneticPr fontId="2"/>
  </si>
  <si>
    <t>1回目</t>
    <phoneticPr fontId="2"/>
  </si>
  <si>
    <t>2回目</t>
    <phoneticPr fontId="2"/>
  </si>
  <si>
    <t>司法書士</t>
    <rPh sb="0" eb="4">
      <t>シホウショシ</t>
    </rPh>
    <phoneticPr fontId="2"/>
  </si>
  <si>
    <t>3回目</t>
    <rPh sb="1" eb="3">
      <t>カイメ</t>
    </rPh>
    <phoneticPr fontId="2"/>
  </si>
  <si>
    <t>※2回目と3回目の請求は、進捗状況により前後します。</t>
    <rPh sb="2" eb="4">
      <t>カイメ</t>
    </rPh>
    <rPh sb="6" eb="8">
      <t>カイメ</t>
    </rPh>
    <rPh sb="9" eb="11">
      <t>セイキュウ</t>
    </rPh>
    <rPh sb="13" eb="15">
      <t>シンチョク</t>
    </rPh>
    <rPh sb="15" eb="17">
      <t>ジョウキョウ</t>
    </rPh>
    <rPh sb="20" eb="22">
      <t>ゼンゴ</t>
    </rPh>
    <phoneticPr fontId="2"/>
  </si>
  <si>
    <t>〒103-0028</t>
    <phoneticPr fontId="2"/>
  </si>
  <si>
    <t>東京都中央区八重洲一丁目7番20号</t>
    <phoneticPr fontId="2"/>
  </si>
  <si>
    <t>行政書士法人チェスター</t>
    <rPh sb="0" eb="6">
      <t>ギョウセイショシホウジン</t>
    </rPh>
    <phoneticPr fontId="2"/>
  </si>
  <si>
    <t>TEL(代表):03-6868-8328</t>
    <phoneticPr fontId="2"/>
  </si>
  <si>
    <t>登記担当</t>
    <rPh sb="0" eb="2">
      <t>トウキ</t>
    </rPh>
    <rPh sb="2" eb="4">
      <t>タントウ</t>
    </rPh>
    <phoneticPr fontId="2"/>
  </si>
  <si>
    <t>例）</t>
    <phoneticPr fontId="2"/>
  </si>
  <si>
    <t>司チェ東京</t>
    <rPh sb="0" eb="1">
      <t>シ</t>
    </rPh>
    <rPh sb="3" eb="5">
      <t>トウキョウ</t>
    </rPh>
    <phoneticPr fontId="2"/>
  </si>
  <si>
    <t>司チェ大阪</t>
    <rPh sb="0" eb="1">
      <t>シ</t>
    </rPh>
    <rPh sb="3" eb="5">
      <t>オオサカ</t>
    </rPh>
    <phoneticPr fontId="2"/>
  </si>
  <si>
    <t>司チェ東京</t>
    <phoneticPr fontId="2"/>
  </si>
  <si>
    <t>司チェ大阪</t>
    <phoneticPr fontId="2"/>
  </si>
  <si>
    <t>103-0023</t>
    <phoneticPr fontId="2"/>
  </si>
  <si>
    <t>東京都中央区日本橋本町3‐2‐11</t>
    <phoneticPr fontId="2"/>
  </si>
  <si>
    <t>井門日本橋本町ビル4階</t>
    <phoneticPr fontId="2"/>
  </si>
  <si>
    <t>03-6869-5162</t>
    <phoneticPr fontId="2"/>
  </si>
  <si>
    <t>03-6869-5163</t>
    <phoneticPr fontId="2"/>
  </si>
  <si>
    <t>06-7878-3450</t>
    <phoneticPr fontId="2"/>
  </si>
  <si>
    <t>06-7878-3451</t>
    <phoneticPr fontId="2"/>
  </si>
  <si>
    <t>司法書士法人チェスター</t>
    <rPh sb="0" eb="6">
      <t>シホウショシホウジン</t>
    </rPh>
    <phoneticPr fontId="2"/>
  </si>
  <si>
    <t>料金</t>
    <rPh sb="0" eb="2">
      <t>リョウキン</t>
    </rPh>
    <phoneticPr fontId="2"/>
  </si>
  <si>
    <t>戸籍等収集
財産調査
口座解約 等</t>
    <phoneticPr fontId="2"/>
  </si>
  <si>
    <t>行チェ</t>
    <rPh sb="0" eb="1">
      <t>ギョウ</t>
    </rPh>
    <phoneticPr fontId="2"/>
  </si>
  <si>
    <t>着手金</t>
    <rPh sb="0" eb="2">
      <t>チャクシュ</t>
    </rPh>
    <rPh sb="2" eb="3">
      <t>キン</t>
    </rPh>
    <phoneticPr fontId="2"/>
  </si>
  <si>
    <r>
      <t>を</t>
    </r>
    <r>
      <rPr>
        <b/>
        <sz val="11"/>
        <color theme="3" tint="0.249977111117893"/>
        <rFont val="游ゴシック"/>
        <family val="3"/>
        <charset val="128"/>
        <scheme val="minor"/>
      </rPr>
      <t>着手金</t>
    </r>
    <r>
      <rPr>
        <sz val="11"/>
        <color theme="1"/>
        <rFont val="游ゴシック"/>
        <family val="2"/>
        <charset val="128"/>
        <scheme val="minor"/>
      </rPr>
      <t>としてご請求します。</t>
    </r>
    <phoneticPr fontId="2"/>
  </si>
  <si>
    <t>※税理士法人チェスターへ相続税申告をご依頼いただいている場合や、
司法書士、弁護士等に裁判所への申立手続、訴訟手続などをご依頼いただいている場合は、
上記サポートパック費用とは別途、税理士・司法書士・弁護士の報酬が発生いたします。</t>
    <rPh sb="1" eb="4">
      <t>ゼイリシ</t>
    </rPh>
    <rPh sb="4" eb="6">
      <t>ホウジン</t>
    </rPh>
    <rPh sb="12" eb="15">
      <t>ソウゾクゼイ</t>
    </rPh>
    <rPh sb="15" eb="17">
      <t>シンコク</t>
    </rPh>
    <rPh sb="19" eb="21">
      <t>イライ</t>
    </rPh>
    <rPh sb="28" eb="30">
      <t>バアイ</t>
    </rPh>
    <rPh sb="33" eb="37">
      <t>シホウショシ</t>
    </rPh>
    <rPh sb="38" eb="41">
      <t>ベンゴシ</t>
    </rPh>
    <rPh sb="41" eb="42">
      <t>トウ</t>
    </rPh>
    <rPh sb="43" eb="46">
      <t>サイバンショ</t>
    </rPh>
    <rPh sb="48" eb="50">
      <t>モウシタテ</t>
    </rPh>
    <rPh sb="50" eb="52">
      <t>テツヅキ</t>
    </rPh>
    <rPh sb="53" eb="55">
      <t>ソショウ</t>
    </rPh>
    <rPh sb="55" eb="57">
      <t>テツヅキ</t>
    </rPh>
    <rPh sb="61" eb="63">
      <t>イライ</t>
    </rPh>
    <rPh sb="70" eb="72">
      <t>バアイ</t>
    </rPh>
    <rPh sb="75" eb="77">
      <t>ジョウキ</t>
    </rPh>
    <rPh sb="84" eb="86">
      <t>ヒヨウ</t>
    </rPh>
    <rPh sb="88" eb="90">
      <t>ベット</t>
    </rPh>
    <rPh sb="91" eb="94">
      <t>ゼイリシ</t>
    </rPh>
    <rPh sb="95" eb="99">
      <t>シホウショシ</t>
    </rPh>
    <rPh sb="100" eb="103">
      <t>ベンゴシ</t>
    </rPh>
    <rPh sb="104" eb="106">
      <t>ホウシュウ</t>
    </rPh>
    <rPh sb="107" eb="109">
      <t>ハッセイ</t>
    </rPh>
    <phoneticPr fontId="2"/>
  </si>
  <si>
    <t>残金</t>
    <rPh sb="0" eb="2">
      <t>ザンキン</t>
    </rPh>
    <phoneticPr fontId="2"/>
  </si>
  <si>
    <r>
      <t>手続完了後、</t>
    </r>
    <r>
      <rPr>
        <u/>
        <sz val="11"/>
        <color theme="1"/>
        <rFont val="游ゴシック"/>
        <family val="3"/>
        <charset val="128"/>
        <scheme val="minor"/>
      </rPr>
      <t>登記報酬を除く</t>
    </r>
    <r>
      <rPr>
        <sz val="11"/>
        <color theme="1"/>
        <rFont val="游ゴシック"/>
        <family val="2"/>
        <charset val="128"/>
        <scheme val="minor"/>
      </rPr>
      <t>基本報酬の残金</t>
    </r>
    <phoneticPr fontId="2"/>
  </si>
  <si>
    <t>行政書士法人チェスター</t>
    <rPh sb="0" eb="4">
      <t>ギョウセイショシ</t>
    </rPh>
    <rPh sb="4" eb="6">
      <t>ホウジン</t>
    </rPh>
    <phoneticPr fontId="2"/>
  </si>
  <si>
    <t>②</t>
    <phoneticPr fontId="12"/>
  </si>
  <si>
    <t>③</t>
    <phoneticPr fontId="12"/>
  </si>
  <si>
    <t>フルサポートプラン</t>
    <phoneticPr fontId="2"/>
  </si>
  <si>
    <t>コスト重視プラン</t>
    <rPh sb="3" eb="5">
      <t>ジュウシ</t>
    </rPh>
    <phoneticPr fontId="2"/>
  </si>
  <si>
    <t>スタンダードプラン</t>
    <phoneticPr fontId="2"/>
  </si>
  <si>
    <t>①</t>
    <phoneticPr fontId="12"/>
  </si>
  <si>
    <t>〒000-0000</t>
  </si>
  <si>
    <r>
      <rPr>
        <sz val="11"/>
        <color theme="1"/>
        <rFont val="游ゴシック"/>
        <family val="2"/>
        <charset val="128"/>
        <scheme val="minor"/>
      </rPr>
      <t xml:space="preserve">【印刷レイアウト】
</t>
    </r>
    <r>
      <rPr>
        <sz val="16"/>
        <color indexed="8"/>
        <rFont val="ＭＳ Ｐゴシック"/>
        <family val="3"/>
        <charset val="128"/>
      </rPr>
      <t>グレーの部分は印刷されません</t>
    </r>
  </si>
  <si>
    <t>東京都港区虎ノ門 0-0-0</t>
  </si>
  <si>
    <t>□□ビル 12F</t>
  </si>
  <si>
    <t>ピー + エスシー株式会社</t>
  </si>
  <si>
    <t>□□グループ</t>
  </si>
  <si>
    <t>主任　高橋 直也　様</t>
  </si>
  <si>
    <r>
      <rPr>
        <sz val="12"/>
        <color indexed="11"/>
        <rFont val="ＭＳ Ｐゴシック"/>
        <family val="3"/>
        <charset val="128"/>
      </rPr>
      <t>編集する時の注意！</t>
    </r>
    <r>
      <rPr>
        <sz val="12"/>
        <color indexed="8"/>
        <rFont val="ＭＳ Ｐゴシック"/>
        <family val="3"/>
        <charset val="128"/>
      </rPr>
      <t xml:space="preserve">
　・列の幅を変更したり、行を追加しないでください。
</t>
    </r>
    <r>
      <rPr>
        <sz val="12"/>
        <color indexed="11"/>
        <rFont val="ＭＳ Ｐゴシック"/>
        <family val="3"/>
        <charset val="128"/>
      </rPr>
      <t>印刷する時の注意！</t>
    </r>
    <r>
      <rPr>
        <sz val="12"/>
        <color indexed="8"/>
        <rFont val="ＭＳ Ｐゴシック"/>
        <family val="3"/>
        <charset val="128"/>
      </rPr>
      <t xml:space="preserve">
　・プリンターの印刷設定より、給紙トレイを「手差し」に、用紙種類を「ラベル・厚紙」などに変更し、必ず手差しトレイから給紙してください。
印刷の向きは、印刷面下、差し込み方向矢印と逆にセットしてください。
</t>
    </r>
    <r>
      <rPr>
        <sz val="12"/>
        <color indexed="11"/>
        <rFont val="ＭＳ Ｐゴシック"/>
        <family val="3"/>
        <charset val="128"/>
      </rPr>
      <t>アレンジのポイント！</t>
    </r>
    <r>
      <rPr>
        <sz val="12"/>
        <color indexed="8"/>
        <rFont val="ＭＳ Ｐゴシック"/>
        <family val="3"/>
        <charset val="128"/>
      </rPr>
      <t xml:space="preserve">
　・文字のフォント、色、背景を自由に変えられます。
</t>
    </r>
    <rPh sb="115" eb="117">
      <t>インサツ</t>
    </rPh>
    <rPh sb="118" eb="119">
      <t>ム</t>
    </rPh>
    <rPh sb="122" eb="124">
      <t>インサツ</t>
    </rPh>
    <rPh sb="124" eb="125">
      <t>メン</t>
    </rPh>
    <rPh sb="125" eb="126">
      <t>シタ</t>
    </rPh>
    <rPh sb="127" eb="128">
      <t>サ</t>
    </rPh>
    <rPh sb="129" eb="130">
      <t>コ</t>
    </rPh>
    <rPh sb="131" eb="133">
      <t>ホウコウ</t>
    </rPh>
    <rPh sb="133" eb="135">
      <t>ヤジルシ</t>
    </rPh>
    <rPh sb="136" eb="137">
      <t>ギャク</t>
    </rPh>
    <phoneticPr fontId="12"/>
  </si>
  <si>
    <t>番号</t>
    <rPh sb="0" eb="2">
      <t>バンゴウ</t>
    </rPh>
    <phoneticPr fontId="2"/>
  </si>
  <si>
    <t>金融機関№</t>
    <rPh sb="0" eb="2">
      <t>キンユウ</t>
    </rPh>
    <rPh sb="2" eb="4">
      <t>キカン</t>
    </rPh>
    <phoneticPr fontId="2"/>
  </si>
  <si>
    <t>行名</t>
    <rPh sb="0" eb="2">
      <t>コウメイ</t>
    </rPh>
    <phoneticPr fontId="2"/>
  </si>
  <si>
    <t>支店名</t>
    <rPh sb="0" eb="3">
      <t>シテンメイ</t>
    </rPh>
    <phoneticPr fontId="2"/>
  </si>
  <si>
    <t>口座番号</t>
    <rPh sb="0" eb="4">
      <t>コウザバンゴウ</t>
    </rPh>
    <phoneticPr fontId="2"/>
  </si>
  <si>
    <t>金融機関</t>
    <rPh sb="0" eb="2">
      <t>キンユウ</t>
    </rPh>
    <rPh sb="2" eb="4">
      <t>キカン</t>
    </rPh>
    <phoneticPr fontId="17"/>
  </si>
  <si>
    <t>支店</t>
    <rPh sb="0" eb="2">
      <t>シテン</t>
    </rPh>
    <phoneticPr fontId="17"/>
  </si>
  <si>
    <t>種類</t>
    <rPh sb="0" eb="2">
      <t>シュルイ</t>
    </rPh>
    <phoneticPr fontId="17"/>
  </si>
  <si>
    <t>様　お名義</t>
    <rPh sb="3" eb="5">
      <t>メイギ</t>
    </rPh>
    <phoneticPr fontId="2"/>
  </si>
  <si>
    <t>⑪</t>
    <phoneticPr fontId="2"/>
  </si>
  <si>
    <t>⑫</t>
    <phoneticPr fontId="2"/>
  </si>
  <si>
    <t>⑬</t>
    <phoneticPr fontId="2"/>
  </si>
  <si>
    <t>⑭</t>
    <phoneticPr fontId="2"/>
  </si>
  <si>
    <t>⑮</t>
    <phoneticPr fontId="2"/>
  </si>
  <si>
    <t>⑯</t>
    <phoneticPr fontId="2"/>
  </si>
  <si>
    <t>⑰</t>
    <phoneticPr fontId="2"/>
  </si>
  <si>
    <t>⑱</t>
    <phoneticPr fontId="2"/>
  </si>
  <si>
    <t>⑲</t>
    <phoneticPr fontId="2"/>
  </si>
  <si>
    <t>№</t>
    <phoneticPr fontId="2"/>
  </si>
  <si>
    <t>⒈　弊社からお送りした書類のうち、ご返送いただきたい書類</t>
    <rPh sb="2" eb="4">
      <t>ヘイシャ</t>
    </rPh>
    <rPh sb="7" eb="8">
      <t>オク</t>
    </rPh>
    <rPh sb="11" eb="13">
      <t>ショルイ</t>
    </rPh>
    <rPh sb="18" eb="20">
      <t>ヘンソウ</t>
    </rPh>
    <rPh sb="26" eb="28">
      <t>ショルイ</t>
    </rPh>
    <phoneticPr fontId="17"/>
  </si>
  <si>
    <t>詳細</t>
    <rPh sb="0" eb="2">
      <t>ショウサイ</t>
    </rPh>
    <phoneticPr fontId="2"/>
  </si>
  <si>
    <t>返送
通数</t>
    <rPh sb="0" eb="2">
      <t>ヘンソウ</t>
    </rPh>
    <rPh sb="3" eb="4">
      <t>ツウ</t>
    </rPh>
    <rPh sb="4" eb="5">
      <t>スウ</t>
    </rPh>
    <phoneticPr fontId="2"/>
  </si>
  <si>
    <t>重要事項説明書</t>
  </si>
  <si>
    <t>委任状</t>
  </si>
  <si>
    <t>記載の通りにご対応のうえ、ご返送願います。</t>
    <phoneticPr fontId="17"/>
  </si>
  <si>
    <t>ご署名ご捺印（実印）のうえ、ご返送願います。</t>
    <phoneticPr fontId="17"/>
  </si>
  <si>
    <t>初回送付日</t>
    <rPh sb="0" eb="2">
      <t>ショカイ</t>
    </rPh>
    <rPh sb="2" eb="4">
      <t>ソウフ</t>
    </rPh>
    <rPh sb="4" eb="5">
      <t>ヒ</t>
    </rPh>
    <phoneticPr fontId="2"/>
  </si>
  <si>
    <t>戸籍関係情報</t>
    <rPh sb="0" eb="6">
      <t>コセキカンケイジョウホウ</t>
    </rPh>
    <phoneticPr fontId="17"/>
  </si>
  <si>
    <t>値引きの有無</t>
    <rPh sb="0" eb="2">
      <t>ネビ</t>
    </rPh>
    <rPh sb="4" eb="6">
      <t>ウム</t>
    </rPh>
    <phoneticPr fontId="2"/>
  </si>
  <si>
    <t>あり</t>
    <phoneticPr fontId="2"/>
  </si>
  <si>
    <t>なし</t>
    <phoneticPr fontId="2"/>
  </si>
  <si>
    <t>⒈基本情報</t>
    <rPh sb="1" eb="3">
      <t>キホン</t>
    </rPh>
    <rPh sb="3" eb="5">
      <t>ジョウホウ</t>
    </rPh>
    <phoneticPr fontId="2"/>
  </si>
  <si>
    <t>税チェ関与</t>
    <rPh sb="0" eb="1">
      <t>ゼイ</t>
    </rPh>
    <rPh sb="3" eb="5">
      <t>カンヨ</t>
    </rPh>
    <phoneticPr fontId="2"/>
  </si>
  <si>
    <t>わかる範囲でご記入願います。
※ご住所、本籍地、筆頭者が不明の場合、通常より戸籍収集にお時間を要する場合がございますこと、予めご了承ください。</t>
    <rPh sb="3" eb="5">
      <t>ハンイ</t>
    </rPh>
    <rPh sb="7" eb="9">
      <t>キニュウ</t>
    </rPh>
    <rPh sb="9" eb="10">
      <t>ネガ</t>
    </rPh>
    <rPh sb="17" eb="19">
      <t>ジュウショ</t>
    </rPh>
    <rPh sb="20" eb="23">
      <t>ホンセキチ</t>
    </rPh>
    <rPh sb="24" eb="27">
      <t>ヒットウシャ</t>
    </rPh>
    <rPh sb="28" eb="30">
      <t>フメイ</t>
    </rPh>
    <rPh sb="31" eb="33">
      <t>バアイ</t>
    </rPh>
    <rPh sb="34" eb="36">
      <t>ツウジョウ</t>
    </rPh>
    <rPh sb="44" eb="46">
      <t>ジカン</t>
    </rPh>
    <rPh sb="47" eb="48">
      <t>ヨウ</t>
    </rPh>
    <rPh sb="50" eb="52">
      <t>バアイ</t>
    </rPh>
    <rPh sb="61" eb="62">
      <t>アラカジ</t>
    </rPh>
    <rPh sb="64" eb="66">
      <t>リョウショウ</t>
    </rPh>
    <phoneticPr fontId="17"/>
  </si>
  <si>
    <t>送付先2</t>
    <rPh sb="0" eb="3">
      <t>ソウフサキ</t>
    </rPh>
    <phoneticPr fontId="2"/>
  </si>
  <si>
    <t>送付先1</t>
    <rPh sb="0" eb="3">
      <t>ソウフサキ</t>
    </rPh>
    <phoneticPr fontId="2"/>
  </si>
  <si>
    <t>契約書</t>
    <rPh sb="0" eb="3">
      <t>ケイヤクショ</t>
    </rPh>
    <phoneticPr fontId="2"/>
  </si>
  <si>
    <t>請求書</t>
    <rPh sb="0" eb="3">
      <t>セイキュウショ</t>
    </rPh>
    <phoneticPr fontId="2"/>
  </si>
  <si>
    <t>夫</t>
    <rPh sb="0" eb="1">
      <t>オット</t>
    </rPh>
    <phoneticPr fontId="3"/>
  </si>
  <si>
    <t>妻</t>
    <rPh sb="0" eb="1">
      <t>ツマ</t>
    </rPh>
    <phoneticPr fontId="3"/>
  </si>
  <si>
    <t>長男</t>
    <rPh sb="0" eb="2">
      <t>チョウナン</t>
    </rPh>
    <phoneticPr fontId="3"/>
  </si>
  <si>
    <t>長女</t>
    <rPh sb="0" eb="2">
      <t>チョウジョ</t>
    </rPh>
    <phoneticPr fontId="3"/>
  </si>
  <si>
    <t>二男</t>
    <rPh sb="0" eb="2">
      <t>ジナン</t>
    </rPh>
    <phoneticPr fontId="3"/>
  </si>
  <si>
    <t>二女</t>
    <rPh sb="0" eb="2">
      <t>ジジョ</t>
    </rPh>
    <phoneticPr fontId="3"/>
  </si>
  <si>
    <t>三男</t>
    <rPh sb="0" eb="2">
      <t>サンナン</t>
    </rPh>
    <phoneticPr fontId="3"/>
  </si>
  <si>
    <t>三女</t>
    <rPh sb="0" eb="2">
      <t>サンジョ</t>
    </rPh>
    <phoneticPr fontId="3"/>
  </si>
  <si>
    <t>四男</t>
    <rPh sb="0" eb="2">
      <t>ヨンナン</t>
    </rPh>
    <phoneticPr fontId="3"/>
  </si>
  <si>
    <t>四女</t>
    <rPh sb="0" eb="2">
      <t>ヨンジョ</t>
    </rPh>
    <phoneticPr fontId="3"/>
  </si>
  <si>
    <t>五男</t>
    <rPh sb="0" eb="2">
      <t>ゴナン</t>
    </rPh>
    <phoneticPr fontId="3"/>
  </si>
  <si>
    <t>五女</t>
    <rPh sb="0" eb="2">
      <t>ゴジョ</t>
    </rPh>
    <phoneticPr fontId="3"/>
  </si>
  <si>
    <t>養子</t>
    <rPh sb="0" eb="2">
      <t>ヨウシ</t>
    </rPh>
    <phoneticPr fontId="3"/>
  </si>
  <si>
    <t>兄</t>
    <rPh sb="0" eb="1">
      <t>アニ</t>
    </rPh>
    <phoneticPr fontId="3"/>
  </si>
  <si>
    <t>姉</t>
    <rPh sb="0" eb="1">
      <t>アネ</t>
    </rPh>
    <phoneticPr fontId="3"/>
  </si>
  <si>
    <t>弟</t>
    <rPh sb="0" eb="1">
      <t>オトウト</t>
    </rPh>
    <phoneticPr fontId="3"/>
  </si>
  <si>
    <t>甥・代襲者</t>
    <rPh sb="0" eb="1">
      <t>オイ</t>
    </rPh>
    <rPh sb="2" eb="4">
      <t>ダイシュウ</t>
    </rPh>
    <rPh sb="4" eb="5">
      <t>シャ</t>
    </rPh>
    <phoneticPr fontId="3"/>
  </si>
  <si>
    <t>姪・代襲者</t>
    <rPh sb="0" eb="1">
      <t>メイ</t>
    </rPh>
    <rPh sb="2" eb="4">
      <t>ダイシュウ</t>
    </rPh>
    <rPh sb="4" eb="5">
      <t>シャ</t>
    </rPh>
    <phoneticPr fontId="3"/>
  </si>
  <si>
    <t>父</t>
    <rPh sb="0" eb="1">
      <t>チチ</t>
    </rPh>
    <phoneticPr fontId="3"/>
  </si>
  <si>
    <t>母</t>
    <rPh sb="0" eb="1">
      <t>ハハ</t>
    </rPh>
    <phoneticPr fontId="3"/>
  </si>
  <si>
    <t>養父</t>
    <rPh sb="0" eb="2">
      <t>ヨウフ</t>
    </rPh>
    <phoneticPr fontId="3"/>
  </si>
  <si>
    <t>養母</t>
    <rPh sb="0" eb="2">
      <t>ヨウボ</t>
    </rPh>
    <phoneticPr fontId="3"/>
  </si>
  <si>
    <t>直通℡</t>
    <rPh sb="0" eb="2">
      <t>チョクツウ</t>
    </rPh>
    <phoneticPr fontId="2"/>
  </si>
  <si>
    <t>050-6882-5719</t>
    <phoneticPr fontId="2"/>
  </si>
  <si>
    <t>050-6865-6198</t>
    <phoneticPr fontId="2"/>
  </si>
  <si>
    <t>050-6882-5723</t>
    <phoneticPr fontId="2"/>
  </si>
  <si>
    <t>050-6882-5720</t>
    <phoneticPr fontId="2"/>
  </si>
  <si>
    <t>宮城</t>
    <rPh sb="0" eb="2">
      <t>ミヤギ</t>
    </rPh>
    <phoneticPr fontId="2"/>
  </si>
  <si>
    <t>050-6861-8542</t>
    <phoneticPr fontId="2"/>
  </si>
  <si>
    <t>050-6861-8142</t>
    <phoneticPr fontId="2"/>
  </si>
  <si>
    <t>050-6861-5377</t>
    <phoneticPr fontId="2"/>
  </si>
  <si>
    <t>050-6861-5751</t>
    <phoneticPr fontId="2"/>
  </si>
  <si>
    <t>050-6883-0604</t>
    <phoneticPr fontId="2"/>
  </si>
  <si>
    <t>050-6883-4012</t>
    <phoneticPr fontId="2"/>
  </si>
  <si>
    <t>050-6883-0136</t>
    <phoneticPr fontId="2"/>
  </si>
  <si>
    <t>050-6861-8090</t>
    <phoneticPr fontId="2"/>
  </si>
  <si>
    <t>050-6882-5726</t>
    <phoneticPr fontId="2"/>
  </si>
  <si>
    <t>050-6861-8498</t>
    <phoneticPr fontId="2"/>
  </si>
  <si>
    <t>050-6861-8155</t>
    <phoneticPr fontId="2"/>
  </si>
  <si>
    <t>052-766-6459</t>
    <phoneticPr fontId="2"/>
  </si>
  <si>
    <t>遺産整理業務（個別積上型）</t>
    <rPh sb="0" eb="2">
      <t>イサン</t>
    </rPh>
    <rPh sb="2" eb="4">
      <t>セイリ</t>
    </rPh>
    <rPh sb="4" eb="6">
      <t>ギョウム</t>
    </rPh>
    <rPh sb="7" eb="9">
      <t>コベツ</t>
    </rPh>
    <rPh sb="9" eb="10">
      <t>ツ</t>
    </rPh>
    <rPh sb="10" eb="11">
      <t>ア</t>
    </rPh>
    <rPh sb="11" eb="12">
      <t>ガタ</t>
    </rPh>
    <phoneticPr fontId="2"/>
  </si>
  <si>
    <t>種類</t>
    <phoneticPr fontId="2"/>
  </si>
  <si>
    <t>⒉送付書類</t>
    <rPh sb="1" eb="3">
      <t>ソウフ</t>
    </rPh>
    <rPh sb="3" eb="5">
      <t>ショルイ</t>
    </rPh>
    <phoneticPr fontId="2"/>
  </si>
  <si>
    <t>返信用封筒通数</t>
    <rPh sb="0" eb="3">
      <t>ヘンシンヨウ</t>
    </rPh>
    <rPh sb="3" eb="5">
      <t>フウトウ</t>
    </rPh>
    <rPh sb="5" eb="6">
      <t>ツウ</t>
    </rPh>
    <rPh sb="6" eb="7">
      <t>スウ</t>
    </rPh>
    <phoneticPr fontId="2"/>
  </si>
  <si>
    <t>委任状通数</t>
    <rPh sb="0" eb="3">
      <t>イニンジョウ</t>
    </rPh>
    <rPh sb="3" eb="4">
      <t>ツウ</t>
    </rPh>
    <rPh sb="4" eb="5">
      <t>スウ</t>
    </rPh>
    <phoneticPr fontId="2"/>
  </si>
  <si>
    <t>返送書類リスト記載チェック</t>
    <rPh sb="0" eb="2">
      <t>ヘンソウ</t>
    </rPh>
    <rPh sb="2" eb="4">
      <t>ショルイ</t>
    </rPh>
    <rPh sb="7" eb="9">
      <t>キサイ</t>
    </rPh>
    <phoneticPr fontId="2"/>
  </si>
  <si>
    <t>印鑑証明書（原本）</t>
    <rPh sb="0" eb="2">
      <t>インカン</t>
    </rPh>
    <rPh sb="2" eb="5">
      <t>ショウメイショ</t>
    </rPh>
    <rPh sb="6" eb="8">
      <t>ゲンポン</t>
    </rPh>
    <phoneticPr fontId="2"/>
  </si>
  <si>
    <t>被相続人様の
出生～死亡の戸籍（原本）</t>
    <phoneticPr fontId="2"/>
  </si>
  <si>
    <t>お亡くなりになった日の記載のある除住民票（原本）をご準備いただき、ご返送願います。</t>
  </si>
  <si>
    <t>相続人様の
現在の戸籍（原本）
・住民票（原本）</t>
    <phoneticPr fontId="2"/>
  </si>
  <si>
    <r>
      <rPr>
        <b/>
        <sz val="11"/>
        <color theme="1"/>
        <rFont val="游ゴシック"/>
        <family val="3"/>
        <charset val="128"/>
        <scheme val="minor"/>
      </rPr>
      <t>行政書士業務</t>
    </r>
    <r>
      <rPr>
        <sz val="11"/>
        <color theme="1"/>
        <rFont val="游ゴシック"/>
        <family val="2"/>
        <charset val="128"/>
        <scheme val="minor"/>
      </rPr>
      <t xml:space="preserve">
戸籍等収集
財産調査
口座解約 等</t>
    </r>
    <rPh sb="0" eb="4">
      <t>ギョウセイショシ</t>
    </rPh>
    <rPh sb="4" eb="6">
      <t>ギョウム</t>
    </rPh>
    <rPh sb="7" eb="9">
      <t>コセキ</t>
    </rPh>
    <rPh sb="9" eb="10">
      <t>トウ</t>
    </rPh>
    <rPh sb="10" eb="12">
      <t>シュウシュウ</t>
    </rPh>
    <rPh sb="13" eb="15">
      <t>ザイサン</t>
    </rPh>
    <rPh sb="15" eb="17">
      <t>チョウサ</t>
    </rPh>
    <rPh sb="18" eb="20">
      <t>コウザ</t>
    </rPh>
    <rPh sb="20" eb="22">
      <t>カイヤク</t>
    </rPh>
    <rPh sb="23" eb="24">
      <t>トウ</t>
    </rPh>
    <phoneticPr fontId="2"/>
  </si>
  <si>
    <r>
      <t>行政書士業務完了後、</t>
    </r>
    <r>
      <rPr>
        <b/>
        <sz val="11"/>
        <color theme="4" tint="-0.249977111117893"/>
        <rFont val="游ゴシック"/>
        <family val="3"/>
        <charset val="128"/>
        <scheme val="minor"/>
      </rPr>
      <t>着手金</t>
    </r>
    <r>
      <rPr>
        <b/>
        <sz val="11"/>
        <color theme="1"/>
        <rFont val="游ゴシック"/>
        <family val="3"/>
        <charset val="128"/>
        <scheme val="minor"/>
      </rPr>
      <t>と</t>
    </r>
    <r>
      <rPr>
        <b/>
        <u/>
        <sz val="11"/>
        <color theme="1"/>
        <rFont val="游ゴシック"/>
        <family val="3"/>
        <charset val="128"/>
        <scheme val="minor"/>
      </rPr>
      <t>司法書士業務分の基本報酬を除く</t>
    </r>
    <r>
      <rPr>
        <b/>
        <sz val="11"/>
        <color theme="1"/>
        <rFont val="游ゴシック"/>
        <family val="3"/>
        <charset val="128"/>
        <scheme val="minor"/>
      </rPr>
      <t>残金</t>
    </r>
    <r>
      <rPr>
        <sz val="11"/>
        <color theme="1"/>
        <rFont val="游ゴシック"/>
        <family val="3"/>
        <charset val="128"/>
        <scheme val="minor"/>
      </rPr>
      <t>+実費+あれば加算料金をご請求します。</t>
    </r>
    <r>
      <rPr>
        <sz val="9"/>
        <color theme="1"/>
        <rFont val="游ゴシック"/>
        <family val="3"/>
        <charset val="128"/>
        <scheme val="minor"/>
      </rPr>
      <t>(行政書士業務に係る実費と加算料金に限る)</t>
    </r>
    <rPh sb="0" eb="4">
      <t>ギョウセイショシ</t>
    </rPh>
    <rPh sb="4" eb="6">
      <t>ギョウム</t>
    </rPh>
    <rPh sb="10" eb="13">
      <t>チャクシュキン</t>
    </rPh>
    <rPh sb="14" eb="18">
      <t>シホウショシ</t>
    </rPh>
    <rPh sb="18" eb="20">
      <t>ギョウム</t>
    </rPh>
    <rPh sb="20" eb="21">
      <t>ブン</t>
    </rPh>
    <rPh sb="22" eb="26">
      <t>キホンホウシュウ</t>
    </rPh>
    <phoneticPr fontId="2"/>
  </si>
  <si>
    <r>
      <rPr>
        <b/>
        <sz val="11"/>
        <color theme="1"/>
        <rFont val="游ゴシック"/>
        <family val="3"/>
        <charset val="128"/>
        <scheme val="minor"/>
      </rPr>
      <t>司法書士業務</t>
    </r>
    <r>
      <rPr>
        <sz val="11"/>
        <color theme="1"/>
        <rFont val="游ゴシック"/>
        <family val="2"/>
        <charset val="128"/>
        <scheme val="minor"/>
      </rPr>
      <t xml:space="preserve">
不動産の登記　等</t>
    </r>
    <rPh sb="0" eb="4">
      <t>シホウショシ</t>
    </rPh>
    <rPh sb="7" eb="10">
      <t>フドウサン</t>
    </rPh>
    <rPh sb="11" eb="13">
      <t>トウキ</t>
    </rPh>
    <rPh sb="14" eb="15">
      <t>トウ</t>
    </rPh>
    <phoneticPr fontId="2"/>
  </si>
  <si>
    <r>
      <t>登記の準備が整い次第、</t>
    </r>
    <r>
      <rPr>
        <b/>
        <sz val="11"/>
        <color theme="1"/>
        <rFont val="游ゴシック"/>
        <family val="3"/>
        <charset val="128"/>
        <scheme val="minor"/>
      </rPr>
      <t>司法書士業務分の基本報酬</t>
    </r>
    <r>
      <rPr>
        <sz val="11"/>
        <color theme="1"/>
        <rFont val="游ゴシック"/>
        <family val="2"/>
        <charset val="128"/>
        <scheme val="minor"/>
      </rPr>
      <t>+実費+あれば加算料金をご請求します。</t>
    </r>
    <r>
      <rPr>
        <sz val="9"/>
        <color theme="1"/>
        <rFont val="游ゴシック"/>
        <family val="3"/>
        <charset val="128"/>
        <scheme val="minor"/>
      </rPr>
      <t>(司法書士業務に係る加算料金と実費に限る)</t>
    </r>
    <rPh sb="0" eb="2">
      <t>トウキ</t>
    </rPh>
    <rPh sb="3" eb="5">
      <t>ジュンビ</t>
    </rPh>
    <rPh sb="6" eb="7">
      <t>トトノ</t>
    </rPh>
    <rPh sb="8" eb="10">
      <t>シダイ</t>
    </rPh>
    <rPh sb="11" eb="15">
      <t>シホウショシ</t>
    </rPh>
    <rPh sb="15" eb="17">
      <t>ギョウム</t>
    </rPh>
    <rPh sb="17" eb="18">
      <t>ブン</t>
    </rPh>
    <rPh sb="19" eb="23">
      <t>キホンホウシュウ</t>
    </rPh>
    <rPh sb="54" eb="56">
      <t>リョウキン</t>
    </rPh>
    <rPh sb="60" eb="61">
      <t>カギ</t>
    </rPh>
    <phoneticPr fontId="2"/>
  </si>
  <si>
    <t>司法書士法人チェスター大阪</t>
    <rPh sb="0" eb="6">
      <t>シホウショシホウジン</t>
    </rPh>
    <rPh sb="11" eb="13">
      <t>オオサカ</t>
    </rPh>
    <phoneticPr fontId="2"/>
  </si>
  <si>
    <t>※税理士法人チェスターへ相続税申告をご依頼いただいている場合や、
司法書士、弁護士等に裁判所への申立手続、訴訟手続などをご依頼いただいている場合は、
上記サポートパック費用とは別途、税理士・司法書士・弁護士の報酬が発生いたします。</t>
    <phoneticPr fontId="2"/>
  </si>
  <si>
    <t>・ご依頼いただく金融機関について、既に判明している情報を入力してください</t>
    <rPh sb="2" eb="4">
      <t>イライ</t>
    </rPh>
    <rPh sb="8" eb="12">
      <t>キンユウキカン</t>
    </rPh>
    <rPh sb="17" eb="18">
      <t>スデ</t>
    </rPh>
    <rPh sb="19" eb="21">
      <t>ハンメイ</t>
    </rPh>
    <rPh sb="25" eb="27">
      <t>ジョウホウ</t>
    </rPh>
    <rPh sb="28" eb="30">
      <t>ニュウリョク</t>
    </rPh>
    <phoneticPr fontId="2"/>
  </si>
  <si>
    <t>本人</t>
    <rPh sb="0" eb="2">
      <t>ホンニン</t>
    </rPh>
    <phoneticPr fontId="2"/>
  </si>
  <si>
    <t>委任状の日付</t>
    <rPh sb="0" eb="3">
      <t>イニンジョウ</t>
    </rPh>
    <rPh sb="4" eb="6">
      <t>ヒヅケ</t>
    </rPh>
    <phoneticPr fontId="2"/>
  </si>
  <si>
    <t>遺言執行者業務</t>
    <rPh sb="0" eb="2">
      <t>イゴン</t>
    </rPh>
    <rPh sb="2" eb="5">
      <t>シッコウシャ</t>
    </rPh>
    <rPh sb="5" eb="7">
      <t>ギョウム</t>
    </rPh>
    <phoneticPr fontId="2"/>
  </si>
  <si>
    <t>遺言公正証書</t>
    <rPh sb="0" eb="2">
      <t>イゴン</t>
    </rPh>
    <rPh sb="2" eb="6">
      <t>コウセイショウショ</t>
    </rPh>
    <phoneticPr fontId="2"/>
  </si>
  <si>
    <t>「正本」または「謄本」をお預かりされている場合はその全てをご返送願います。</t>
    <rPh sb="1" eb="3">
      <t>セイホン</t>
    </rPh>
    <rPh sb="8" eb="10">
      <t>トウホン</t>
    </rPh>
    <rPh sb="13" eb="14">
      <t>アズ</t>
    </rPh>
    <rPh sb="21" eb="23">
      <t>バアイ</t>
    </rPh>
    <rPh sb="26" eb="27">
      <t>スベ</t>
    </rPh>
    <rPh sb="30" eb="32">
      <t>ヘンソウ</t>
    </rPh>
    <rPh sb="32" eb="33">
      <t>ネガ</t>
    </rPh>
    <phoneticPr fontId="2"/>
  </si>
  <si>
    <t>委任状</t>
    <phoneticPr fontId="2"/>
  </si>
  <si>
    <t>口座の凍結についての確認書</t>
  </si>
  <si>
    <t>口座の凍結についての確認書</t>
    <phoneticPr fontId="2"/>
  </si>
  <si>
    <t>戸籍関係情報</t>
    <phoneticPr fontId="2"/>
  </si>
  <si>
    <t>相続人連絡先等一覧</t>
    <phoneticPr fontId="2"/>
  </si>
  <si>
    <t>相続人連絡先等一覧</t>
    <rPh sb="0" eb="2">
      <t>ソウゾク</t>
    </rPh>
    <rPh sb="2" eb="3">
      <t>ニン</t>
    </rPh>
    <rPh sb="3" eb="6">
      <t>レンラクサキ</t>
    </rPh>
    <rPh sb="6" eb="7">
      <t>トウ</t>
    </rPh>
    <rPh sb="7" eb="9">
      <t>イチラン</t>
    </rPh>
    <phoneticPr fontId="17"/>
  </si>
  <si>
    <t>の相続財産の承継に関して必要な</t>
    <phoneticPr fontId="2"/>
  </si>
  <si>
    <t>ふりがな</t>
    <phoneticPr fontId="78"/>
  </si>
  <si>
    <t>氏名</t>
    <rPh sb="0" eb="2">
      <t>シメイ</t>
    </rPh>
    <phoneticPr fontId="78"/>
  </si>
  <si>
    <t>最後の住所</t>
    <rPh sb="0" eb="2">
      <t>サイゴ</t>
    </rPh>
    <rPh sb="3" eb="5">
      <t>ジュウショ</t>
    </rPh>
    <phoneticPr fontId="78"/>
  </si>
  <si>
    <t>生年月日</t>
    <rPh sb="0" eb="2">
      <t>セイネン</t>
    </rPh>
    <rPh sb="2" eb="4">
      <t>ガッピ</t>
    </rPh>
    <phoneticPr fontId="17"/>
  </si>
  <si>
    <t>死亡年月日</t>
    <rPh sb="0" eb="2">
      <t>シボウ</t>
    </rPh>
    <rPh sb="2" eb="5">
      <t>ネンガッピ</t>
    </rPh>
    <phoneticPr fontId="78"/>
  </si>
  <si>
    <t>本籍</t>
    <rPh sb="0" eb="2">
      <t>ホンセキ</t>
    </rPh>
    <phoneticPr fontId="17"/>
  </si>
  <si>
    <t>筆頭者</t>
    <rPh sb="0" eb="3">
      <t>ヒットウシャ</t>
    </rPh>
    <phoneticPr fontId="78"/>
  </si>
  <si>
    <t>委任者</t>
    <rPh sb="0" eb="3">
      <t>イニンシャ</t>
    </rPh>
    <phoneticPr fontId="2"/>
  </si>
  <si>
    <t>取得書類</t>
    <rPh sb="0" eb="2">
      <t>シュトク</t>
    </rPh>
    <rPh sb="2" eb="4">
      <t>ショルイ</t>
    </rPh>
    <phoneticPr fontId="2"/>
  </si>
  <si>
    <t>被相続人の法定相続人確定のため
全ての戸籍除籍、戸籍の附票の収集をお願いします。
既に取得している戸籍等の原本があるものは追加取得不要です。</t>
    <phoneticPr fontId="2"/>
  </si>
  <si>
    <t>備考</t>
    <rPh sb="0" eb="2">
      <t>ビコウ</t>
    </rPh>
    <phoneticPr fontId="17"/>
  </si>
  <si>
    <t>相続人は妻、子供（３名）の計4名</t>
    <rPh sb="4" eb="5">
      <t>ツマ</t>
    </rPh>
    <phoneticPr fontId="17"/>
  </si>
  <si>
    <t>担当②</t>
    <rPh sb="0" eb="2">
      <t>タントウ</t>
    </rPh>
    <phoneticPr fontId="2"/>
  </si>
  <si>
    <t>⑴</t>
    <phoneticPr fontId="2"/>
  </si>
  <si>
    <t>⑵</t>
    <phoneticPr fontId="2"/>
  </si>
  <si>
    <t>⑶</t>
    <phoneticPr fontId="2"/>
  </si>
  <si>
    <t>⑷</t>
    <phoneticPr fontId="2"/>
  </si>
  <si>
    <t>⑸</t>
    <phoneticPr fontId="2"/>
  </si>
  <si>
    <t>⑹</t>
    <phoneticPr fontId="2"/>
  </si>
  <si>
    <t>⑺</t>
    <phoneticPr fontId="2"/>
  </si>
  <si>
    <t>⑻</t>
    <phoneticPr fontId="2"/>
  </si>
  <si>
    <t>⑼</t>
    <phoneticPr fontId="2"/>
  </si>
  <si>
    <t>⑽</t>
    <phoneticPr fontId="2"/>
  </si>
  <si>
    <t>⑾</t>
    <phoneticPr fontId="2"/>
  </si>
  <si>
    <t>⒊返送書類</t>
    <rPh sb="1" eb="3">
      <t>ヘンソウ</t>
    </rPh>
    <rPh sb="3" eb="5">
      <t>ショルイ</t>
    </rPh>
    <phoneticPr fontId="2"/>
  </si>
  <si>
    <t>⒋被相続人・相続人　基本情報</t>
    <rPh sb="1" eb="2">
      <t>ヒ</t>
    </rPh>
    <rPh sb="2" eb="4">
      <t>ソウゾク</t>
    </rPh>
    <rPh sb="4" eb="5">
      <t>ニン</t>
    </rPh>
    <rPh sb="6" eb="9">
      <t>ソウゾクニン</t>
    </rPh>
    <rPh sb="10" eb="12">
      <t>キホン</t>
    </rPh>
    <rPh sb="12" eb="14">
      <t>ジョウホウ</t>
    </rPh>
    <phoneticPr fontId="2"/>
  </si>
  <si>
    <t>氏名
(行政　太郎)</t>
    <rPh sb="0" eb="2">
      <t>シメイ</t>
    </rPh>
    <rPh sb="4" eb="6">
      <t>ギョウセイ</t>
    </rPh>
    <rPh sb="7" eb="9">
      <t>タロウ</t>
    </rPh>
    <phoneticPr fontId="2"/>
  </si>
  <si>
    <r>
      <t xml:space="preserve">ふりがな
</t>
    </r>
    <r>
      <rPr>
        <b/>
        <sz val="6"/>
        <color theme="1"/>
        <rFont val="メイリオ"/>
        <family val="3"/>
        <charset val="128"/>
      </rPr>
      <t>(ぎょうせい　たろう)</t>
    </r>
    <phoneticPr fontId="2"/>
  </si>
  <si>
    <t>生年月日
(R1.1.1)</t>
    <rPh sb="0" eb="4">
      <t>セイネンガッピ</t>
    </rPh>
    <phoneticPr fontId="2"/>
  </si>
  <si>
    <t>死亡日
(R1.1.1)</t>
    <rPh sb="0" eb="2">
      <t>シボウ</t>
    </rPh>
    <rPh sb="2" eb="3">
      <t>ヒ</t>
    </rPh>
    <phoneticPr fontId="2"/>
  </si>
  <si>
    <t>〒
(000-0000)</t>
    <phoneticPr fontId="2"/>
  </si>
  <si>
    <r>
      <t xml:space="preserve">住所1
</t>
    </r>
    <r>
      <rPr>
        <b/>
        <sz val="8"/>
        <color theme="1"/>
        <rFont val="メイリオ"/>
        <family val="3"/>
        <charset val="128"/>
      </rPr>
      <t>(東京都中央区八重洲一丁目7-20)</t>
    </r>
    <rPh sb="0" eb="2">
      <t>ジュウショ</t>
    </rPh>
    <rPh sb="5" eb="7">
      <t>トウキョウ</t>
    </rPh>
    <rPh sb="7" eb="8">
      <t>ト</t>
    </rPh>
    <rPh sb="8" eb="11">
      <t>チュウオウク</t>
    </rPh>
    <rPh sb="11" eb="14">
      <t>ヤエス</t>
    </rPh>
    <rPh sb="14" eb="17">
      <t>イッチョウメ</t>
    </rPh>
    <phoneticPr fontId="2"/>
  </si>
  <si>
    <r>
      <t xml:space="preserve">住所2
</t>
    </r>
    <r>
      <rPr>
        <b/>
        <sz val="8"/>
        <color theme="1"/>
        <rFont val="メイリオ"/>
        <family val="3"/>
        <charset val="128"/>
      </rPr>
      <t>(八重洲口会館2階)</t>
    </r>
    <rPh sb="0" eb="2">
      <t>ジュウショ</t>
    </rPh>
    <rPh sb="5" eb="8">
      <t>ヤエス</t>
    </rPh>
    <rPh sb="8" eb="9">
      <t>クチ</t>
    </rPh>
    <rPh sb="9" eb="11">
      <t>カイカン</t>
    </rPh>
    <rPh sb="12" eb="13">
      <t>カイ</t>
    </rPh>
    <phoneticPr fontId="2"/>
  </si>
  <si>
    <t>TEL
(00-0000-0000)</t>
    <phoneticPr fontId="2"/>
  </si>
  <si>
    <r>
      <t xml:space="preserve">本籍地
</t>
    </r>
    <r>
      <rPr>
        <b/>
        <sz val="8"/>
        <color theme="1"/>
        <rFont val="メイリオ"/>
        <family val="3"/>
        <charset val="128"/>
      </rPr>
      <t>(東京都中央区八重洲一丁目7番20号)</t>
    </r>
    <rPh sb="0" eb="3">
      <t>ホンセキチ</t>
    </rPh>
    <rPh sb="5" eb="7">
      <t>トウキョウ</t>
    </rPh>
    <rPh sb="7" eb="8">
      <t>ト</t>
    </rPh>
    <rPh sb="8" eb="11">
      <t>チュウオウク</t>
    </rPh>
    <rPh sb="11" eb="14">
      <t>ヤエス</t>
    </rPh>
    <rPh sb="14" eb="17">
      <t>イッチョウメ</t>
    </rPh>
    <rPh sb="18" eb="19">
      <t>バン</t>
    </rPh>
    <rPh sb="21" eb="22">
      <t>ゴウ</t>
    </rPh>
    <phoneticPr fontId="2"/>
  </si>
  <si>
    <t>筆頭者
(行政　太郎)</t>
    <rPh sb="0" eb="3">
      <t>ヒットウシャ</t>
    </rPh>
    <rPh sb="5" eb="7">
      <t>ギョウセイ</t>
    </rPh>
    <rPh sb="8" eb="10">
      <t>タロウ</t>
    </rPh>
    <phoneticPr fontId="2"/>
  </si>
  <si>
    <t>レタパシール
貼付台紙</t>
    <rPh sb="7" eb="9">
      <t>チョウフ</t>
    </rPh>
    <rPh sb="9" eb="11">
      <t>ダイシ</t>
    </rPh>
    <phoneticPr fontId="12"/>
  </si>
  <si>
    <t>案件番号</t>
    <rPh sb="0" eb="2">
      <t>アンケン</t>
    </rPh>
    <rPh sb="2" eb="4">
      <t>バンゴウ</t>
    </rPh>
    <phoneticPr fontId="12"/>
  </si>
  <si>
    <t>顧客名</t>
    <rPh sb="0" eb="2">
      <t>コキャク</t>
    </rPh>
    <rPh sb="2" eb="3">
      <t>ナ</t>
    </rPh>
    <phoneticPr fontId="12"/>
  </si>
  <si>
    <t>被相続人名</t>
    <rPh sb="0" eb="1">
      <t>ヒ</t>
    </rPh>
    <rPh sb="1" eb="3">
      <t>ソウゾク</t>
    </rPh>
    <rPh sb="3" eb="4">
      <t>ニン</t>
    </rPh>
    <rPh sb="4" eb="5">
      <t>ナ</t>
    </rPh>
    <phoneticPr fontId="12"/>
  </si>
  <si>
    <t>案件種類</t>
    <rPh sb="0" eb="2">
      <t>アンケン</t>
    </rPh>
    <rPh sb="2" eb="4">
      <t>シュルイ</t>
    </rPh>
    <phoneticPr fontId="12"/>
  </si>
  <si>
    <t>担当</t>
    <rPh sb="0" eb="2">
      <t>タントウ</t>
    </rPh>
    <phoneticPr fontId="12"/>
  </si>
  <si>
    <t>送付</t>
    <rPh sb="0" eb="2">
      <t>ソウフ</t>
    </rPh>
    <phoneticPr fontId="78"/>
  </si>
  <si>
    <t>返送</t>
    <rPh sb="0" eb="2">
      <t>ヘンソウ</t>
    </rPh>
    <phoneticPr fontId="78"/>
  </si>
  <si>
    <t>みずほ銀行</t>
    <rPh sb="3" eb="5">
      <t>ギンコウ</t>
    </rPh>
    <phoneticPr fontId="2"/>
  </si>
  <si>
    <t>ゆうちょ銀行</t>
    <rPh sb="4" eb="6">
      <t>ギンコウ</t>
    </rPh>
    <phoneticPr fontId="2"/>
  </si>
  <si>
    <t>りそな銀行</t>
    <rPh sb="3" eb="5">
      <t>ギンコウ</t>
    </rPh>
    <phoneticPr fontId="2"/>
  </si>
  <si>
    <t>三菱UFJ銀行</t>
    <rPh sb="0" eb="2">
      <t>ミツビシ</t>
    </rPh>
    <rPh sb="5" eb="7">
      <t>ギンコウ</t>
    </rPh>
    <phoneticPr fontId="2"/>
  </si>
  <si>
    <t>三井住友銀行</t>
    <rPh sb="0" eb="4">
      <t>ミツイスミトモ</t>
    </rPh>
    <rPh sb="4" eb="6">
      <t>ギンコウ</t>
    </rPh>
    <phoneticPr fontId="2"/>
  </si>
  <si>
    <t>SMBC日興証券</t>
    <rPh sb="4" eb="6">
      <t>ニッコウ</t>
    </rPh>
    <rPh sb="6" eb="8">
      <t>ショウケン</t>
    </rPh>
    <phoneticPr fontId="2"/>
  </si>
  <si>
    <t>大和証券</t>
    <rPh sb="0" eb="4">
      <t>ダイワショウケン</t>
    </rPh>
    <phoneticPr fontId="2"/>
  </si>
  <si>
    <t>岡三証券</t>
    <rPh sb="0" eb="2">
      <t>オカサン</t>
    </rPh>
    <rPh sb="2" eb="4">
      <t>ショウケン</t>
    </rPh>
    <phoneticPr fontId="2"/>
  </si>
  <si>
    <t>みずほ証券</t>
    <rPh sb="3" eb="5">
      <t>ショウケン</t>
    </rPh>
    <phoneticPr fontId="2"/>
  </si>
  <si>
    <t>上記の者を 遺産整理受任者 に選任し、被相続人</t>
    <phoneticPr fontId="2"/>
  </si>
  <si>
    <t>今般の相続に関する法定相続情報一覧図（原本）をご取得済みの場合は、右記通数ご返送願います。</t>
    <rPh sb="0" eb="2">
      <t>コンパン</t>
    </rPh>
    <rPh sb="3" eb="5">
      <t>ソウゾク</t>
    </rPh>
    <rPh sb="6" eb="7">
      <t>カン</t>
    </rPh>
    <rPh sb="9" eb="18">
      <t>ホウテイソウゾクジョウホウイチランズ</t>
    </rPh>
    <rPh sb="19" eb="21">
      <t>ゲンポン</t>
    </rPh>
    <rPh sb="24" eb="26">
      <t>シュトク</t>
    </rPh>
    <rPh sb="26" eb="27">
      <t>ズ</t>
    </rPh>
    <rPh sb="29" eb="31">
      <t>バアイ</t>
    </rPh>
    <rPh sb="33" eb="35">
      <t>ウキ</t>
    </rPh>
    <rPh sb="35" eb="36">
      <t>ツウ</t>
    </rPh>
    <rPh sb="36" eb="37">
      <t>スウ</t>
    </rPh>
    <rPh sb="38" eb="40">
      <t>ヘンソウ</t>
    </rPh>
    <rPh sb="40" eb="41">
      <t>ネガ</t>
    </rPh>
    <phoneticPr fontId="2"/>
  </si>
  <si>
    <t>養女</t>
    <rPh sb="0" eb="2">
      <t>ヨウジョ</t>
    </rPh>
    <phoneticPr fontId="3"/>
  </si>
  <si>
    <t>孫・代襲者</t>
    <rPh sb="0" eb="1">
      <t>マゴ</t>
    </rPh>
    <rPh sb="2" eb="4">
      <t>ダイシュウ</t>
    </rPh>
    <rPh sb="4" eb="5">
      <t>シャ</t>
    </rPh>
    <phoneticPr fontId="2"/>
  </si>
  <si>
    <t>返信用封筒(書類の返送にご使用ください)</t>
    <rPh sb="0" eb="3">
      <t>ヘンシンヨウ</t>
    </rPh>
    <rPh sb="3" eb="5">
      <t>フウトウ</t>
    </rPh>
    <rPh sb="6" eb="8">
      <t>ショルイ</t>
    </rPh>
    <rPh sb="9" eb="11">
      <t>ヘンソウ</t>
    </rPh>
    <rPh sb="13" eb="15">
      <t>シヨウ</t>
    </rPh>
    <phoneticPr fontId="2"/>
  </si>
  <si>
    <t>今般相続手続に必要となる、遺産分割協議書、申請書、財産目録、遺産配分に関する説明書、その他一切の書類作成</t>
    <rPh sb="0" eb="2">
      <t>コンパン</t>
    </rPh>
    <phoneticPr fontId="2"/>
  </si>
  <si>
    <t>三菱UFJ信託銀行</t>
    <rPh sb="0" eb="2">
      <t>ミツビシ</t>
    </rPh>
    <rPh sb="5" eb="7">
      <t>シンタク</t>
    </rPh>
    <phoneticPr fontId="2"/>
  </si>
  <si>
    <t>三井住友信託銀行</t>
    <rPh sb="0" eb="6">
      <t>ミツイスミトモシンタク</t>
    </rPh>
    <rPh sb="6" eb="8">
      <t>ギンコウ</t>
    </rPh>
    <phoneticPr fontId="2"/>
  </si>
  <si>
    <t>みずほ信託銀行</t>
    <rPh sb="3" eb="5">
      <t>シンタク</t>
    </rPh>
    <rPh sb="5" eb="7">
      <t>ギンコウ</t>
    </rPh>
    <phoneticPr fontId="2"/>
  </si>
  <si>
    <t>横浜銀行</t>
    <rPh sb="0" eb="4">
      <t>ヨコハマギンコウ</t>
    </rPh>
    <phoneticPr fontId="2"/>
  </si>
  <si>
    <t>埼玉りそな銀行</t>
    <rPh sb="0" eb="2">
      <t>サイタマ</t>
    </rPh>
    <rPh sb="5" eb="7">
      <t>ギンコウ</t>
    </rPh>
    <phoneticPr fontId="2"/>
  </si>
  <si>
    <t>城南信用金庫</t>
    <rPh sb="0" eb="6">
      <t>ジョウナンシンヨウキンコ</t>
    </rPh>
    <phoneticPr fontId="2"/>
  </si>
  <si>
    <t>きらぼし銀行</t>
    <rPh sb="4" eb="6">
      <t>ギンコウ</t>
    </rPh>
    <phoneticPr fontId="2"/>
  </si>
  <si>
    <t>静岡銀行</t>
    <rPh sb="0" eb="2">
      <t>シズオカ</t>
    </rPh>
    <rPh sb="2" eb="4">
      <t>ギンコウ</t>
    </rPh>
    <phoneticPr fontId="2"/>
  </si>
  <si>
    <t>新生銀行</t>
    <rPh sb="0" eb="2">
      <t>シンセイ</t>
    </rPh>
    <rPh sb="2" eb="4">
      <t>ギンコウ</t>
    </rPh>
    <phoneticPr fontId="2"/>
  </si>
  <si>
    <t>スルガ銀行</t>
    <rPh sb="3" eb="5">
      <t>ギンコウ</t>
    </rPh>
    <phoneticPr fontId="2"/>
  </si>
  <si>
    <t>セブン銀行</t>
    <rPh sb="3" eb="5">
      <t>ギンコウ</t>
    </rPh>
    <phoneticPr fontId="2"/>
  </si>
  <si>
    <t>中国銀行</t>
    <rPh sb="0" eb="4">
      <t>チュウゴクギンコウ</t>
    </rPh>
    <phoneticPr fontId="2"/>
  </si>
  <si>
    <t>福岡銀行</t>
    <rPh sb="0" eb="2">
      <t>フクオカ</t>
    </rPh>
    <rPh sb="2" eb="4">
      <t>ギンコウ</t>
    </rPh>
    <phoneticPr fontId="2"/>
  </si>
  <si>
    <t>西日本シティ銀行</t>
    <rPh sb="0" eb="3">
      <t>ニシニホン</t>
    </rPh>
    <rPh sb="6" eb="8">
      <t>ギンコウ</t>
    </rPh>
    <phoneticPr fontId="2"/>
  </si>
  <si>
    <t>千葉銀行</t>
    <rPh sb="0" eb="4">
      <t>チバギンコウ</t>
    </rPh>
    <phoneticPr fontId="2"/>
  </si>
  <si>
    <t>大垣共立銀行</t>
    <rPh sb="0" eb="2">
      <t>オオガキ</t>
    </rPh>
    <rPh sb="2" eb="4">
      <t>キョウリツ</t>
    </rPh>
    <rPh sb="4" eb="6">
      <t>ギンコウ</t>
    </rPh>
    <phoneticPr fontId="2"/>
  </si>
  <si>
    <t>愛知銀行</t>
    <rPh sb="0" eb="2">
      <t>アイチ</t>
    </rPh>
    <rPh sb="2" eb="4">
      <t>ギンコウ</t>
    </rPh>
    <phoneticPr fontId="2"/>
  </si>
  <si>
    <t>京葉銀行</t>
    <rPh sb="0" eb="4">
      <t>ケイヨウギンコウ</t>
    </rPh>
    <phoneticPr fontId="2"/>
  </si>
  <si>
    <t>SBI証券</t>
    <rPh sb="3" eb="5">
      <t>ショウケン</t>
    </rPh>
    <phoneticPr fontId="2"/>
  </si>
  <si>
    <t>楽天証券</t>
    <rPh sb="0" eb="4">
      <t>ラクテンショウケン</t>
    </rPh>
    <phoneticPr fontId="2"/>
  </si>
  <si>
    <t>モルガンスタンレー証券</t>
    <rPh sb="9" eb="11">
      <t>ショウケン</t>
    </rPh>
    <phoneticPr fontId="2"/>
  </si>
  <si>
    <t>アイザワ証券</t>
    <rPh sb="4" eb="6">
      <t>ショウケン</t>
    </rPh>
    <phoneticPr fontId="2"/>
  </si>
  <si>
    <t>マネックス証券</t>
    <rPh sb="5" eb="7">
      <t>ショウケン</t>
    </rPh>
    <phoneticPr fontId="2"/>
  </si>
  <si>
    <t>朝日信用金庫</t>
    <rPh sb="0" eb="4">
      <t>アサヒシンヨウ</t>
    </rPh>
    <rPh sb="4" eb="6">
      <t>キンコ</t>
    </rPh>
    <phoneticPr fontId="2"/>
  </si>
  <si>
    <t>青梅信用金庫</t>
    <rPh sb="0" eb="2">
      <t>アオウメ</t>
    </rPh>
    <rPh sb="2" eb="6">
      <t>シンヨウキンコ</t>
    </rPh>
    <phoneticPr fontId="2"/>
  </si>
  <si>
    <t>さわやか信用金庫</t>
    <rPh sb="4" eb="8">
      <t>シンヨウキンコ</t>
    </rPh>
    <phoneticPr fontId="2"/>
  </si>
  <si>
    <t>西武信用金庫</t>
    <rPh sb="0" eb="2">
      <t>セイブ</t>
    </rPh>
    <rPh sb="2" eb="6">
      <t>シンヨウキンコ</t>
    </rPh>
    <phoneticPr fontId="2"/>
  </si>
  <si>
    <t>多摩信用金庫</t>
    <rPh sb="0" eb="6">
      <t>タマシンヨウキンコ</t>
    </rPh>
    <phoneticPr fontId="2"/>
  </si>
  <si>
    <t>城北信用金庫</t>
    <rPh sb="0" eb="6">
      <t>ジョウホクシンヨウキンコ</t>
    </rPh>
    <phoneticPr fontId="2"/>
  </si>
  <si>
    <t>京都銀行</t>
    <rPh sb="0" eb="4">
      <t>キョウトギンコウ</t>
    </rPh>
    <phoneticPr fontId="2"/>
  </si>
  <si>
    <t>関西みらい銀行</t>
    <rPh sb="0" eb="2">
      <t>カンサイ</t>
    </rPh>
    <rPh sb="5" eb="7">
      <t>ギンコウ</t>
    </rPh>
    <phoneticPr fontId="2"/>
  </si>
  <si>
    <t>京都信用金庫</t>
    <rPh sb="0" eb="6">
      <t>キョウトシンヨウキンコ</t>
    </rPh>
    <phoneticPr fontId="2"/>
  </si>
  <si>
    <t>京都中央信用金庫</t>
    <rPh sb="0" eb="8">
      <t>キョウトチュウオウシンヨウキンコ</t>
    </rPh>
    <phoneticPr fontId="2"/>
  </si>
  <si>
    <t>但馬銀行</t>
  </si>
  <si>
    <t>みなと銀行</t>
  </si>
  <si>
    <t>東海東京証券</t>
    <phoneticPr fontId="2"/>
  </si>
  <si>
    <t>兵庫信用金庫</t>
  </si>
  <si>
    <t>いちよし証券</t>
  </si>
  <si>
    <t>日新信用金庫</t>
    <phoneticPr fontId="2"/>
  </si>
  <si>
    <t>瀬戸信用金庫</t>
  </si>
  <si>
    <t>住信SBIネット銀行</t>
    <phoneticPr fontId="2"/>
  </si>
  <si>
    <t>群馬銀行</t>
  </si>
  <si>
    <t>ソニー銀行</t>
  </si>
  <si>
    <t>Paypay銀行</t>
  </si>
  <si>
    <t>auじぶん銀行</t>
    <phoneticPr fontId="2"/>
  </si>
  <si>
    <t>イオン銀行</t>
  </si>
  <si>
    <t>立花証券</t>
    <phoneticPr fontId="2"/>
  </si>
  <si>
    <t>名古屋銀行</t>
  </si>
  <si>
    <t>中京銀行</t>
  </si>
  <si>
    <t>十六銀行</t>
    <phoneticPr fontId="2"/>
  </si>
  <si>
    <t>丸三証券</t>
    <rPh sb="0" eb="2">
      <t>マルサン</t>
    </rPh>
    <rPh sb="2" eb="4">
      <t>ショウケン</t>
    </rPh>
    <phoneticPr fontId="2"/>
  </si>
  <si>
    <t>法定相続情報</t>
    <rPh sb="0" eb="2">
      <t>ホウテイ</t>
    </rPh>
    <rPh sb="2" eb="4">
      <t>ソウゾク</t>
    </rPh>
    <rPh sb="4" eb="6">
      <t>ジョウホウ</t>
    </rPh>
    <phoneticPr fontId="2"/>
  </si>
  <si>
    <t>配偶者</t>
    <rPh sb="0" eb="3">
      <t>ハイグウシャ</t>
    </rPh>
    <phoneticPr fontId="2"/>
  </si>
  <si>
    <t>相続人</t>
    <rPh sb="0" eb="3">
      <t>ソウゾクニン</t>
    </rPh>
    <phoneticPr fontId="2"/>
  </si>
  <si>
    <t>戸籍</t>
    <rPh sb="0" eb="2">
      <t>コセキ</t>
    </rPh>
    <phoneticPr fontId="2"/>
  </si>
  <si>
    <t>対象者</t>
    <rPh sb="0" eb="3">
      <t>タイショウシャ</t>
    </rPh>
    <phoneticPr fontId="2"/>
  </si>
  <si>
    <t>戸籍担当者</t>
    <rPh sb="0" eb="2">
      <t>コセキ</t>
    </rPh>
    <rPh sb="2" eb="5">
      <t>タントウシャ</t>
    </rPh>
    <phoneticPr fontId="2"/>
  </si>
  <si>
    <t>担当者</t>
    <rPh sb="0" eb="3">
      <t>タントウシャ</t>
    </rPh>
    <phoneticPr fontId="2"/>
  </si>
  <si>
    <t>増田　千尋</t>
    <rPh sb="0" eb="2">
      <t>マスダ</t>
    </rPh>
    <rPh sb="3" eb="5">
      <t>チヒロ</t>
    </rPh>
    <phoneticPr fontId="2"/>
  </si>
  <si>
    <t>増田</t>
    <rPh sb="0" eb="2">
      <t>マスダ</t>
    </rPh>
    <phoneticPr fontId="2"/>
  </si>
  <si>
    <t>御見積書</t>
    <rPh sb="0" eb="4">
      <t>オミツモリショ</t>
    </rPh>
    <phoneticPr fontId="2"/>
  </si>
  <si>
    <r>
      <t>　この度は、ご依頼いただき誠にありがとうございます。　
　上記書類をお送りいたしますので、お手数ではございますが、</t>
    </r>
    <r>
      <rPr>
        <b/>
        <u/>
        <sz val="14"/>
        <color theme="1"/>
        <rFont val="ＭＳ 明朝"/>
        <family val="1"/>
        <charset val="128"/>
      </rPr>
      <t>送付状２枚目(返送書類リスト)</t>
    </r>
    <r>
      <rPr>
        <sz val="14"/>
        <rFont val="ＭＳ 明朝"/>
        <family val="1"/>
        <charset val="128"/>
      </rPr>
      <t xml:space="preserve">をご確認いただき、ご対応の上ご返送くださいますようお願い申し上げます。
　また請求書を同封しておりますので、同書記載の期限までにお振込みのほどよろしくお願い申し上げます。
　ご不明点等ございましたら、お気軽にご連絡ください。
　業務完了まで、何卒よろしくお願いいたします。
</t>
    </r>
    <rPh sb="85" eb="86">
      <t>ウエ</t>
    </rPh>
    <phoneticPr fontId="2"/>
  </si>
  <si>
    <t>印鑑証明書 （原本）</t>
    <rPh sb="0" eb="2">
      <t>インカン</t>
    </rPh>
    <rPh sb="2" eb="5">
      <t>ショウメイショ</t>
    </rPh>
    <rPh sb="7" eb="9">
      <t>ゲンポン</t>
    </rPh>
    <phoneticPr fontId="2"/>
  </si>
  <si>
    <t>⒉　ご準備のうえ、ご返送いただきたい書類</t>
    <rPh sb="3" eb="5">
      <t>ジュンビ</t>
    </rPh>
    <rPh sb="10" eb="12">
      <t>ヘンソウ</t>
    </rPh>
    <rPh sb="18" eb="20">
      <t>ショルイ</t>
    </rPh>
    <phoneticPr fontId="17"/>
  </si>
  <si>
    <t>清水</t>
    <rPh sb="0" eb="2">
      <t>シミズ</t>
    </rPh>
    <phoneticPr fontId="2"/>
  </si>
  <si>
    <t>050-6883-2132</t>
    <phoneticPr fontId="2"/>
  </si>
  <si>
    <t xml:space="preserve"> </t>
    <phoneticPr fontId="2"/>
  </si>
  <si>
    <t>　※被相続人様が証券会社に口座をお持ちでない場合は記入不要です。
　※ファンドラップや信用取引等を行っている場合、凍結連絡のタイミングで決済される可能性があります。</t>
    <rPh sb="73" eb="76">
      <t>カノウセイ</t>
    </rPh>
    <phoneticPr fontId="2"/>
  </si>
  <si>
    <t>法定相続情報の申請をお願いします。</t>
    <phoneticPr fontId="2"/>
  </si>
  <si>
    <t>引継ぎ前のチェックリスト</t>
    <rPh sb="0" eb="2">
      <t>ヒキツ</t>
    </rPh>
    <rPh sb="3" eb="4">
      <t>マエ</t>
    </rPh>
    <phoneticPr fontId="2"/>
  </si>
  <si>
    <t>金融機関の手続きのタイミングについて</t>
    <rPh sb="0" eb="2">
      <t>キンユウ</t>
    </rPh>
    <rPh sb="2" eb="4">
      <t>キカン</t>
    </rPh>
    <rPh sb="5" eb="7">
      <t>テツヅ</t>
    </rPh>
    <phoneticPr fontId="2"/>
  </si>
  <si>
    <t>必要な戸籍、名寄帳等書類について通数（通常1通）、年度等を確認して、
必要な取得書類については全て上記に入力した。</t>
    <rPh sb="0" eb="2">
      <t>ヒツヨウ</t>
    </rPh>
    <rPh sb="3" eb="5">
      <t>コセキ</t>
    </rPh>
    <rPh sb="6" eb="9">
      <t>ナヨセチョウ</t>
    </rPh>
    <rPh sb="9" eb="10">
      <t>トウ</t>
    </rPh>
    <rPh sb="10" eb="12">
      <t>ショルイ</t>
    </rPh>
    <rPh sb="16" eb="17">
      <t>ツウ</t>
    </rPh>
    <rPh sb="17" eb="18">
      <t>スウ</t>
    </rPh>
    <rPh sb="19" eb="21">
      <t>ツウジョウ</t>
    </rPh>
    <rPh sb="22" eb="23">
      <t>ツウ</t>
    </rPh>
    <rPh sb="25" eb="27">
      <t>ネンド</t>
    </rPh>
    <rPh sb="27" eb="28">
      <t>トウ</t>
    </rPh>
    <rPh sb="29" eb="31">
      <t>カクニン</t>
    </rPh>
    <rPh sb="35" eb="37">
      <t>ヒツヨウ</t>
    </rPh>
    <rPh sb="38" eb="40">
      <t>シュトク</t>
    </rPh>
    <rPh sb="40" eb="42">
      <t>ショルイ</t>
    </rPh>
    <rPh sb="47" eb="48">
      <t>スベ</t>
    </rPh>
    <rPh sb="49" eb="51">
      <t>ジョウキ</t>
    </rPh>
    <rPh sb="52" eb="54">
      <t>ニュウリョク</t>
    </rPh>
    <phoneticPr fontId="2"/>
  </si>
  <si>
    <t>先に亡くなった親族の未手続財産がないか確認をして、
今回の被相続人に係る戸籍、名寄帳等の書類以外取得しなくてよいことを確認した。
手続きが必要な場合は、上記に必要書類を記載した。</t>
    <rPh sb="0" eb="1">
      <t>サキ</t>
    </rPh>
    <rPh sb="2" eb="3">
      <t>ナ</t>
    </rPh>
    <rPh sb="7" eb="9">
      <t>シンゾク</t>
    </rPh>
    <rPh sb="10" eb="13">
      <t>ミテツヅキ</t>
    </rPh>
    <rPh sb="13" eb="15">
      <t>ザイサン</t>
    </rPh>
    <rPh sb="19" eb="21">
      <t>カクニン</t>
    </rPh>
    <rPh sb="26" eb="28">
      <t>コンカイ</t>
    </rPh>
    <rPh sb="29" eb="30">
      <t>ヒ</t>
    </rPh>
    <rPh sb="30" eb="32">
      <t>ソウゾク</t>
    </rPh>
    <rPh sb="32" eb="33">
      <t>ニン</t>
    </rPh>
    <rPh sb="34" eb="35">
      <t>カカワ</t>
    </rPh>
    <rPh sb="36" eb="38">
      <t>コセキ</t>
    </rPh>
    <rPh sb="39" eb="42">
      <t>ナヨセチョウ</t>
    </rPh>
    <rPh sb="42" eb="43">
      <t>トウ</t>
    </rPh>
    <rPh sb="44" eb="46">
      <t>ショルイ</t>
    </rPh>
    <rPh sb="46" eb="48">
      <t>イガイ</t>
    </rPh>
    <rPh sb="48" eb="50">
      <t>シュトク</t>
    </rPh>
    <rPh sb="59" eb="61">
      <t>カクニン</t>
    </rPh>
    <rPh sb="65" eb="67">
      <t>テツヅ</t>
    </rPh>
    <rPh sb="69" eb="71">
      <t>ヒツヨウ</t>
    </rPh>
    <rPh sb="72" eb="74">
      <t>バアイ</t>
    </rPh>
    <rPh sb="76" eb="78">
      <t>ジョウキ</t>
    </rPh>
    <rPh sb="79" eb="81">
      <t>ヒツヨウ</t>
    </rPh>
    <rPh sb="81" eb="83">
      <t>ショルイ</t>
    </rPh>
    <rPh sb="84" eb="86">
      <t>キサイ</t>
    </rPh>
    <phoneticPr fontId="2"/>
  </si>
  <si>
    <t>預り済みの戸籍類及び必要書類は原本を戸籍収集担当者へ全て渡した。</t>
    <rPh sb="0" eb="1">
      <t>アズカ</t>
    </rPh>
    <rPh sb="2" eb="3">
      <t>ズ</t>
    </rPh>
    <rPh sb="5" eb="7">
      <t>コセキ</t>
    </rPh>
    <rPh sb="7" eb="8">
      <t>ルイ</t>
    </rPh>
    <rPh sb="8" eb="9">
      <t>オヨ</t>
    </rPh>
    <rPh sb="10" eb="12">
      <t>ヒツヨウ</t>
    </rPh>
    <rPh sb="12" eb="14">
      <t>ショルイ</t>
    </rPh>
    <rPh sb="15" eb="17">
      <t>ゲンポン</t>
    </rPh>
    <rPh sb="18" eb="20">
      <t>コセキ</t>
    </rPh>
    <rPh sb="20" eb="22">
      <t>シュウシュウ</t>
    </rPh>
    <rPh sb="22" eb="25">
      <t>タントウシャ</t>
    </rPh>
    <rPh sb="26" eb="27">
      <t>スベ</t>
    </rPh>
    <rPh sb="28" eb="29">
      <t>ワタ</t>
    </rPh>
    <phoneticPr fontId="2"/>
  </si>
  <si>
    <t>□申請中
□完了</t>
    <phoneticPr fontId="17"/>
  </si>
  <si>
    <t>□申請中
□完了</t>
    <rPh sb="1" eb="4">
      <t>シンセイチュウ</t>
    </rPh>
    <rPh sb="6" eb="8">
      <t>カンリョウ</t>
    </rPh>
    <phoneticPr fontId="17"/>
  </si>
  <si>
    <t>050-6883-4015</t>
    <phoneticPr fontId="2"/>
  </si>
  <si>
    <t>布施</t>
    <phoneticPr fontId="2"/>
  </si>
  <si>
    <t>丸山</t>
    <phoneticPr fontId="2"/>
  </si>
  <si>
    <t>丸山慧子　</t>
    <phoneticPr fontId="2"/>
  </si>
  <si>
    <t>宮城明香　</t>
    <rPh sb="0" eb="2">
      <t>ミヤギ</t>
    </rPh>
    <rPh sb="2" eb="4">
      <t>メイカ</t>
    </rPh>
    <phoneticPr fontId="2"/>
  </si>
  <si>
    <t>布施祐太郎　</t>
    <phoneticPr fontId="2"/>
  </si>
  <si>
    <t>森中</t>
    <rPh sb="0" eb="2">
      <t>モリナカ</t>
    </rPh>
    <phoneticPr fontId="2"/>
  </si>
  <si>
    <t>ご署名のうえ、1通をお手元に保管いただき、残り1通をご返送願います。</t>
    <phoneticPr fontId="2"/>
  </si>
  <si>
    <t>⒌戸籍担当</t>
    <rPh sb="1" eb="3">
      <t>コセキ</t>
    </rPh>
    <rPh sb="3" eb="5">
      <t>タントウ</t>
    </rPh>
    <phoneticPr fontId="2"/>
  </si>
  <si>
    <t>⒍金融機関　基本情報</t>
    <rPh sb="1" eb="5">
      <t>キンユウキカン</t>
    </rPh>
    <rPh sb="6" eb="10">
      <t>キホンジョウホウ</t>
    </rPh>
    <phoneticPr fontId="2"/>
  </si>
  <si>
    <t>3通</t>
  </si>
  <si>
    <t>住民票除票、改製原附票の収集をお願いします。</t>
    <rPh sb="0" eb="3">
      <t>ジュウミンヒョウ</t>
    </rPh>
    <rPh sb="3" eb="5">
      <t>ジョヒョウ</t>
    </rPh>
    <rPh sb="6" eb="8">
      <t>カイセイ</t>
    </rPh>
    <rPh sb="8" eb="9">
      <t>ハラ</t>
    </rPh>
    <rPh sb="9" eb="11">
      <t>フヒョウ</t>
    </rPh>
    <rPh sb="12" eb="14">
      <t>シュウシュウ</t>
    </rPh>
    <rPh sb="16" eb="17">
      <t>ネガ</t>
    </rPh>
    <phoneticPr fontId="2"/>
  </si>
  <si>
    <t>引継ぎ資料</t>
    <rPh sb="0" eb="2">
      <t>ヒキツ</t>
    </rPh>
    <rPh sb="3" eb="5">
      <t>シリョウ</t>
    </rPh>
    <phoneticPr fontId="2"/>
  </si>
  <si>
    <t>　  確認済</t>
    <phoneticPr fontId="2"/>
  </si>
  <si>
    <t>　  確認済</t>
    <rPh sb="3" eb="5">
      <t>カクニン</t>
    </rPh>
    <rPh sb="5" eb="6">
      <t>ズ</t>
    </rPh>
    <phoneticPr fontId="2"/>
  </si>
  <si>
    <t>　  法定作成前
　  法定作成後</t>
    <rPh sb="3" eb="5">
      <t>ホウテイ</t>
    </rPh>
    <rPh sb="5" eb="7">
      <t>サクセイ</t>
    </rPh>
    <rPh sb="7" eb="8">
      <t>マエ</t>
    </rPh>
    <rPh sb="12" eb="14">
      <t>ホウテイ</t>
    </rPh>
    <rPh sb="14" eb="16">
      <t>サクセイ</t>
    </rPh>
    <rPh sb="16" eb="17">
      <t>ゴ</t>
    </rPh>
    <phoneticPr fontId="2"/>
  </si>
  <si>
    <t>　</t>
  </si>
  <si>
    <t>※黄色セルは必ず入力ください</t>
    <rPh sb="1" eb="3">
      <t>キイロ</t>
    </rPh>
    <rPh sb="6" eb="7">
      <t>カナラ</t>
    </rPh>
    <rPh sb="8" eb="10">
      <t>ニュウリョク</t>
    </rPh>
    <phoneticPr fontId="2"/>
  </si>
  <si>
    <t>相続手続き業務に関する確認事項</t>
  </si>
  <si>
    <t>・こちらの『基本情報入力』シートの【⒈基本情報】~【⒋被相続人・相続人　基本情報】に必要事項を入力ください</t>
    <rPh sb="6" eb="10">
      <t>キホンジョウホウ</t>
    </rPh>
    <rPh sb="10" eb="12">
      <t>ニュウリョク</t>
    </rPh>
    <rPh sb="19" eb="21">
      <t>キホン</t>
    </rPh>
    <rPh sb="21" eb="23">
      <t>ジョウホウ</t>
    </rPh>
    <rPh sb="27" eb="28">
      <t>ヒ</t>
    </rPh>
    <rPh sb="28" eb="30">
      <t>ソウゾク</t>
    </rPh>
    <rPh sb="30" eb="31">
      <t>ニン</t>
    </rPh>
    <rPh sb="32" eb="35">
      <t>ソウゾクニン</t>
    </rPh>
    <rPh sb="36" eb="38">
      <t>キホン</t>
    </rPh>
    <rPh sb="38" eb="40">
      <t>ジョウホウ</t>
    </rPh>
    <rPh sb="42" eb="44">
      <t>ヒツヨウ</t>
    </rPh>
    <rPh sb="44" eb="46">
      <t>ジコウ</t>
    </rPh>
    <rPh sb="47" eb="49">
      <t>ニュウリョク</t>
    </rPh>
    <phoneticPr fontId="2"/>
  </si>
  <si>
    <t>・戸籍担当へ戸籍収集等を依頼される場合、『戸籍収集引継書』の14行より下、指示部分は直接入力ください</t>
    <rPh sb="1" eb="3">
      <t>コセキ</t>
    </rPh>
    <rPh sb="3" eb="5">
      <t>タントウ</t>
    </rPh>
    <rPh sb="10" eb="11">
      <t>トウ</t>
    </rPh>
    <rPh sb="12" eb="14">
      <t>イライ</t>
    </rPh>
    <rPh sb="17" eb="19">
      <t>バアイ</t>
    </rPh>
    <rPh sb="21" eb="23">
      <t>コセキ</t>
    </rPh>
    <rPh sb="23" eb="25">
      <t>シュウシュウ</t>
    </rPh>
    <rPh sb="25" eb="26">
      <t>ヒ</t>
    </rPh>
    <rPh sb="26" eb="27">
      <t>ツ</t>
    </rPh>
    <rPh sb="27" eb="28">
      <t>ショ</t>
    </rPh>
    <rPh sb="32" eb="33">
      <t>ギョウ</t>
    </rPh>
    <rPh sb="35" eb="36">
      <t>シタ</t>
    </rPh>
    <rPh sb="37" eb="39">
      <t>シジ</t>
    </rPh>
    <rPh sb="39" eb="41">
      <t>ブブン</t>
    </rPh>
    <rPh sb="42" eb="44">
      <t>チョクセツ</t>
    </rPh>
    <rPh sb="44" eb="46">
      <t>ニュウリョク</t>
    </rPh>
    <phoneticPr fontId="2"/>
  </si>
  <si>
    <t>・『送付状』『返送書類リスト』は印刷後、分けずにホチキス止めして、まとめて送付ください</t>
    <rPh sb="2" eb="4">
      <t>ソウフ</t>
    </rPh>
    <rPh sb="4" eb="5">
      <t>ジョウ</t>
    </rPh>
    <rPh sb="7" eb="9">
      <t>ヘンソウ</t>
    </rPh>
    <rPh sb="9" eb="11">
      <t>ショルイ</t>
    </rPh>
    <rPh sb="16" eb="18">
      <t>インサツ</t>
    </rPh>
    <rPh sb="18" eb="19">
      <t>ゴ</t>
    </rPh>
    <rPh sb="20" eb="21">
      <t>ワ</t>
    </rPh>
    <rPh sb="28" eb="29">
      <t>ド</t>
    </rPh>
    <rPh sb="37" eb="39">
      <t>ソウフ</t>
    </rPh>
    <phoneticPr fontId="2"/>
  </si>
  <si>
    <t>銀行</t>
    <rPh sb="0" eb="2">
      <t>ギンコウ</t>
    </rPh>
    <phoneticPr fontId="2"/>
  </si>
  <si>
    <t>不動産・金融機関情報一覧</t>
    <rPh sb="0" eb="3">
      <t>フドウサン</t>
    </rPh>
    <rPh sb="4" eb="10">
      <t>キンユウキカンジョウホウ</t>
    </rPh>
    <rPh sb="10" eb="12">
      <t>イチランメイギ</t>
    </rPh>
    <phoneticPr fontId="17"/>
  </si>
  <si>
    <t>不動産・金融機関情報一覧</t>
    <rPh sb="0" eb="3">
      <t>フドウサン</t>
    </rPh>
    <phoneticPr fontId="2"/>
  </si>
  <si>
    <t>・ご依頼いただく不動産の市区町村を入力してください。</t>
    <rPh sb="2" eb="4">
      <t>イライ</t>
    </rPh>
    <rPh sb="8" eb="11">
      <t>フドウサン</t>
    </rPh>
    <rPh sb="12" eb="14">
      <t>シク</t>
    </rPh>
    <rPh sb="14" eb="16">
      <t>チョウソン</t>
    </rPh>
    <rPh sb="17" eb="19">
      <t>ニュウリョク</t>
    </rPh>
    <phoneticPr fontId="2"/>
  </si>
  <si>
    <t>市区町村名</t>
    <rPh sb="0" eb="2">
      <t>シク</t>
    </rPh>
    <rPh sb="2" eb="4">
      <t>チョウソン</t>
    </rPh>
    <rPh sb="4" eb="5">
      <t>メイ</t>
    </rPh>
    <phoneticPr fontId="2"/>
  </si>
  <si>
    <t>R7年度名寄帳の取得もお願いします。（千代田区、横浜市西区、鎌倉市）</t>
    <phoneticPr fontId="2"/>
  </si>
  <si>
    <t>上記被相続人の法定相続情報一覧図の作成、保管、交付、再交付の申し出及び受領に関する一切の件
尚、上記法定相続情報の利用目的は、登記申請及び預金払戻手続きであり、必要な写しの通数は10通</t>
    <rPh sb="17" eb="19">
      <t>サクセイ</t>
    </rPh>
    <rPh sb="35" eb="37">
      <t>ジュリョウ</t>
    </rPh>
    <phoneticPr fontId="2"/>
  </si>
  <si>
    <r>
      <rPr>
        <b/>
        <sz val="12"/>
        <color theme="1"/>
        <rFont val="游ゴシック"/>
        <family val="3"/>
        <charset val="128"/>
        <scheme val="minor"/>
      </rPr>
      <t>⒉</t>
    </r>
    <r>
      <rPr>
        <sz val="10.5"/>
        <color theme="1"/>
        <rFont val="游ゴシック"/>
        <family val="3"/>
        <charset val="128"/>
        <scheme val="minor"/>
      </rPr>
      <t xml:space="preserve">　①～は弊社へご依頼いただきました金融機関（銀行・証券会社）の一覧となります。下記(ア)(イ)(ウ)をご確認のうえご対応願います。
 </t>
    </r>
    <r>
      <rPr>
        <sz val="10"/>
        <color theme="1"/>
        <rFont val="游ゴシック"/>
        <family val="3"/>
        <charset val="128"/>
        <scheme val="minor"/>
      </rPr>
      <t>(ア)弊社へご依頼いただく</t>
    </r>
    <r>
      <rPr>
        <u/>
        <sz val="10"/>
        <color theme="1"/>
        <rFont val="游ゴシック"/>
        <family val="3"/>
        <charset val="128"/>
        <scheme val="minor"/>
      </rPr>
      <t>金融機関に追加や変更</t>
    </r>
    <r>
      <rPr>
        <sz val="10"/>
        <color theme="1"/>
        <rFont val="游ゴシック"/>
        <family val="3"/>
        <charset val="128"/>
        <scheme val="minor"/>
      </rPr>
      <t>がございましたら、その旨ご記入願います。</t>
    </r>
    <r>
      <rPr>
        <u/>
        <sz val="10"/>
        <color theme="1"/>
        <rFont val="游ゴシック"/>
        <family val="3"/>
        <charset val="128"/>
        <scheme val="minor"/>
      </rPr>
      <t xml:space="preserve">
</t>
    </r>
    <r>
      <rPr>
        <sz val="10"/>
        <color theme="1"/>
        <rFont val="游ゴシック"/>
        <family val="3"/>
        <charset val="128"/>
        <scheme val="minor"/>
      </rPr>
      <t xml:space="preserve"> (イ)お手続きをスムーズに進めるため、</t>
    </r>
    <r>
      <rPr>
        <u/>
        <sz val="10"/>
        <color theme="1"/>
        <rFont val="游ゴシック"/>
        <family val="3"/>
        <charset val="128"/>
        <scheme val="minor"/>
      </rPr>
      <t>わかる範囲で追記</t>
    </r>
    <r>
      <rPr>
        <sz val="10"/>
        <color theme="1"/>
        <rFont val="游ゴシック"/>
        <family val="3"/>
        <charset val="128"/>
        <scheme val="minor"/>
      </rPr>
      <t>願います。
 (ウ</t>
    </r>
    <r>
      <rPr>
        <u/>
        <sz val="10"/>
        <color theme="1"/>
        <rFont val="游ゴシック"/>
        <family val="3"/>
        <charset val="128"/>
        <scheme val="minor"/>
      </rPr>
      <t>)税理士法人チェスターに通帳等金融機関に関する書類をご提出済み</t>
    </r>
    <r>
      <rPr>
        <sz val="10"/>
        <color theme="1"/>
        <rFont val="游ゴシック"/>
        <family val="3"/>
        <charset val="128"/>
        <scheme val="minor"/>
      </rPr>
      <t>の場合、(イ)はご記入不要です。</t>
    </r>
    <rPh sb="23" eb="25">
      <t>ギンコウ</t>
    </rPh>
    <rPh sb="26" eb="28">
      <t>ショウケン</t>
    </rPh>
    <rPh sb="28" eb="30">
      <t>ガイシャ</t>
    </rPh>
    <rPh sb="40" eb="42">
      <t>カキ</t>
    </rPh>
    <rPh sb="106" eb="107">
      <t>ネガ</t>
    </rPh>
    <rPh sb="150" eb="153">
      <t>ゼイリシ</t>
    </rPh>
    <rPh sb="153" eb="155">
      <t>ホウジン</t>
    </rPh>
    <rPh sb="189" eb="191">
      <t>キニュウ</t>
    </rPh>
    <rPh sb="191" eb="193">
      <t>フヨウ</t>
    </rPh>
    <phoneticPr fontId="2"/>
  </si>
  <si>
    <t>森中絵梨佳　</t>
    <phoneticPr fontId="2"/>
  </si>
  <si>
    <t>東三条佑圭梨　</t>
    <phoneticPr fontId="2"/>
  </si>
  <si>
    <t>小森和正　</t>
    <phoneticPr fontId="2"/>
  </si>
  <si>
    <t>東三条</t>
    <phoneticPr fontId="2"/>
  </si>
  <si>
    <t>小森</t>
    <phoneticPr fontId="2"/>
  </si>
  <si>
    <r>
      <rPr>
        <b/>
        <sz val="12"/>
        <color theme="1"/>
        <rFont val="游ゴシック"/>
        <family val="3"/>
        <charset val="128"/>
        <scheme val="minor"/>
      </rPr>
      <t>⒈</t>
    </r>
    <r>
      <rPr>
        <sz val="10.5"/>
        <color theme="1"/>
        <rFont val="游ゴシック"/>
        <family val="3"/>
        <charset val="128"/>
        <scheme val="minor"/>
      </rPr>
      <t>　①～は弊社へ調査、証明書発行をご依頼いただきました不動産が存する市区町村の一覧となります。一覧のほかに被相続人が不動産を所有されていた可能性のある市区町村あればご記入願います。</t>
    </r>
    <r>
      <rPr>
        <sz val="10"/>
        <color theme="1"/>
        <rFont val="游ゴシック"/>
        <family val="3"/>
        <charset val="128"/>
        <scheme val="minor"/>
      </rPr>
      <t>（調査する市区町村に登録されている被相続人の住所地が住民票や附票で確認できない場合や、調査したい不動産の所在が都道府県までしかわからない場合などは、調査は致しかねますことあらかじめご承知おきください。）</t>
    </r>
    <rPh sb="5" eb="7">
      <t>ヘイシャ</t>
    </rPh>
    <rPh sb="18" eb="20">
      <t>イライ</t>
    </rPh>
    <rPh sb="27" eb="30">
      <t>フドウサン</t>
    </rPh>
    <rPh sb="31" eb="32">
      <t>ソン</t>
    </rPh>
    <rPh sb="34" eb="36">
      <t>シク</t>
    </rPh>
    <rPh sb="36" eb="38">
      <t>チョウソン</t>
    </rPh>
    <rPh sb="39" eb="41">
      <t>イチラン</t>
    </rPh>
    <rPh sb="47" eb="49">
      <t>イチラン</t>
    </rPh>
    <rPh sb="53" eb="57">
      <t>ヒソウゾクニン</t>
    </rPh>
    <rPh sb="58" eb="61">
      <t>フドウサン</t>
    </rPh>
    <rPh sb="62" eb="64">
      <t>ショユウ</t>
    </rPh>
    <rPh sb="69" eb="72">
      <t>カノウセイ</t>
    </rPh>
    <rPh sb="75" eb="77">
      <t>シク</t>
    </rPh>
    <rPh sb="77" eb="79">
      <t>チョウソン</t>
    </rPh>
    <rPh sb="83" eb="85">
      <t>キニュウ</t>
    </rPh>
    <rPh sb="85" eb="86">
      <t>ネガ</t>
    </rPh>
    <rPh sb="91" eb="93">
      <t>チョウサ</t>
    </rPh>
    <rPh sb="95" eb="97">
      <t>シク</t>
    </rPh>
    <rPh sb="97" eb="99">
      <t>チョウソン</t>
    </rPh>
    <rPh sb="100" eb="102">
      <t>トウロク</t>
    </rPh>
    <rPh sb="112" eb="114">
      <t>ジュウショ</t>
    </rPh>
    <rPh sb="114" eb="115">
      <t>チ</t>
    </rPh>
    <rPh sb="116" eb="119">
      <t>ジュウミンヒョウ</t>
    </rPh>
    <rPh sb="120" eb="122">
      <t>フヒョウ</t>
    </rPh>
    <rPh sb="123" eb="125">
      <t>カクニン</t>
    </rPh>
    <rPh sb="129" eb="131">
      <t>バアイ</t>
    </rPh>
    <rPh sb="133" eb="135">
      <t>チョウサ</t>
    </rPh>
    <rPh sb="138" eb="141">
      <t>フドウサン</t>
    </rPh>
    <rPh sb="142" eb="144">
      <t>ショザイ</t>
    </rPh>
    <rPh sb="145" eb="149">
      <t>トドウフケン</t>
    </rPh>
    <rPh sb="158" eb="160">
      <t>バアイ</t>
    </rPh>
    <rPh sb="164" eb="166">
      <t>チョウサ</t>
    </rPh>
    <rPh sb="167" eb="168">
      <t>イタ</t>
    </rPh>
    <rPh sb="181" eb="183">
      <t>ショウチ</t>
    </rPh>
    <phoneticPr fontId="2"/>
  </si>
  <si>
    <t>相続手続き業務に関する確認事項</t>
    <phoneticPr fontId="2"/>
  </si>
  <si>
    <t>各項目をご確認いただきチェックボックスにレ点を入れてください。全ての項目にレ点を入れ終えましたら、下部の署名欄にご署名のうえ、1通をお手元に保管いただき、残り1通をご返送願います。</t>
    <rPh sb="0" eb="3">
      <t>カクコウモク</t>
    </rPh>
    <rPh sb="5" eb="7">
      <t>カクニン</t>
    </rPh>
    <rPh sb="23" eb="24">
      <t>イ</t>
    </rPh>
    <rPh sb="31" eb="32">
      <t>スベ</t>
    </rPh>
    <rPh sb="34" eb="36">
      <t>コウモク</t>
    </rPh>
    <rPh sb="38" eb="39">
      <t>テン</t>
    </rPh>
    <rPh sb="40" eb="41">
      <t>イ</t>
    </rPh>
    <rPh sb="42" eb="43">
      <t>オ</t>
    </rPh>
    <rPh sb="49" eb="51">
      <t>カブ</t>
    </rPh>
    <rPh sb="54" eb="55">
      <t>ラン</t>
    </rPh>
    <rPh sb="57" eb="59">
      <t>ショメイ</t>
    </rPh>
    <phoneticPr fontId="2"/>
  </si>
  <si>
    <t>被相続人様の除住民票（原本）</t>
    <rPh sb="0" eb="1">
      <t>ヒ</t>
    </rPh>
    <rPh sb="1" eb="3">
      <t>ソウゾク</t>
    </rPh>
    <rPh sb="3" eb="4">
      <t>ニン</t>
    </rPh>
    <phoneticPr fontId="2"/>
  </si>
  <si>
    <t>出生日～お亡くなりになられた日までの、戸籍一式（原本）をご準備いただき、ご返送願います。</t>
    <rPh sb="21" eb="23">
      <t>イッシキ</t>
    </rPh>
    <phoneticPr fontId="2"/>
  </si>
  <si>
    <t>最新の戸籍(原本)または抄本（原本）、及び住民票（原本）をご準備いただき、ご返送願います。</t>
    <phoneticPr fontId="2"/>
  </si>
  <si>
    <t>⒎不動産　基本情報</t>
    <rPh sb="1" eb="4">
      <t>フドウサン</t>
    </rPh>
    <rPh sb="5" eb="9">
      <t>キホンジョウホウ</t>
    </rPh>
    <phoneticPr fontId="2"/>
  </si>
  <si>
    <t>・ヒアリングシートを参考に【⒍金融機関　基本情報】と【⒎不動産　基本情報】に必要事項を入力ください</t>
    <rPh sb="10" eb="12">
      <t>サンコウ</t>
    </rPh>
    <rPh sb="28" eb="31">
      <t>フドウサン</t>
    </rPh>
    <rPh sb="32" eb="34">
      <t>キホン</t>
    </rPh>
    <rPh sb="34" eb="36">
      <t>ジョウホウ</t>
    </rPh>
    <phoneticPr fontId="2"/>
  </si>
  <si>
    <t xml:space="preserve">弊社へご依頼いただく不動産と金融機関の一覧となります。もしもご依頼数に増減がある場合は、こちらの書面に追記願います。
</t>
    <rPh sb="10" eb="13">
      <t>フドウサン</t>
    </rPh>
    <phoneticPr fontId="17"/>
  </si>
  <si>
    <t>法定相続情報一覧図（原本）</t>
    <rPh sb="0" eb="9">
      <t>ホウテイソウゾクジョウホウイチランズ</t>
    </rPh>
    <rPh sb="10" eb="12">
      <t>ゲンポン</t>
    </rPh>
    <phoneticPr fontId="2"/>
  </si>
  <si>
    <t>米田</t>
    <phoneticPr fontId="2"/>
  </si>
  <si>
    <t>菊川</t>
    <phoneticPr fontId="2"/>
  </si>
  <si>
    <t>菊川智恵子　</t>
    <phoneticPr fontId="2"/>
  </si>
  <si>
    <t>米田由香　</t>
    <phoneticPr fontId="2"/>
  </si>
  <si>
    <t>野村證券</t>
    <rPh sb="0" eb="2">
      <t>ノムラ</t>
    </rPh>
    <rPh sb="2" eb="4">
      <t>ショウケン</t>
    </rPh>
    <phoneticPr fontId="2"/>
  </si>
  <si>
    <t>石井祐貴　</t>
    <phoneticPr fontId="2"/>
  </si>
  <si>
    <t>柴田彩香　</t>
    <phoneticPr fontId="2"/>
  </si>
  <si>
    <t>宇野</t>
    <phoneticPr fontId="2"/>
  </si>
  <si>
    <t>050-6883-4521</t>
    <phoneticPr fontId="2"/>
  </si>
  <si>
    <t>栗原大輔　</t>
    <phoneticPr fontId="2"/>
  </si>
  <si>
    <t>南</t>
    <phoneticPr fontId="2"/>
  </si>
  <si>
    <t>土田</t>
    <phoneticPr fontId="2"/>
  </si>
  <si>
    <t>宇野綾華　</t>
    <phoneticPr fontId="2"/>
  </si>
  <si>
    <t>南香南江　</t>
    <phoneticPr fontId="2"/>
  </si>
  <si>
    <t>土田修平　</t>
    <phoneticPr fontId="2"/>
  </si>
  <si>
    <t>亀岡菜摘　</t>
    <phoneticPr fontId="2"/>
  </si>
  <si>
    <t>亀岡</t>
    <phoneticPr fontId="2"/>
  </si>
  <si>
    <t>白金</t>
    <rPh sb="0" eb="2">
      <t>シロガネ</t>
    </rPh>
    <phoneticPr fontId="2"/>
  </si>
  <si>
    <t>050-6861-0106</t>
    <phoneticPr fontId="2"/>
  </si>
  <si>
    <t>白金大翔</t>
    <phoneticPr fontId="2"/>
  </si>
  <si>
    <t>清水茜作</t>
    <rPh sb="0" eb="2">
      <t>シミズ</t>
    </rPh>
    <rPh sb="2" eb="4">
      <t>アカネサク</t>
    </rPh>
    <phoneticPr fontId="2"/>
  </si>
  <si>
    <t>三宅</t>
    <phoneticPr fontId="2"/>
  </si>
  <si>
    <t>　三宅真莉奈</t>
    <phoneticPr fontId="2"/>
  </si>
  <si>
    <t>梅田</t>
    <phoneticPr fontId="2"/>
  </si>
  <si>
    <t>050-6875-3090</t>
    <phoneticPr fontId="2"/>
  </si>
  <si>
    <t>　梅田奈央</t>
    <phoneticPr fontId="2"/>
  </si>
  <si>
    <t>芦田</t>
    <phoneticPr fontId="2"/>
  </si>
  <si>
    <t>安西</t>
    <phoneticPr fontId="2"/>
  </si>
  <si>
    <t>　芦田昭子</t>
    <phoneticPr fontId="2"/>
  </si>
  <si>
    <t>森町翼　</t>
    <phoneticPr fontId="2"/>
  </si>
  <si>
    <t>松本拓弥　</t>
    <phoneticPr fontId="2"/>
  </si>
  <si>
    <t>提携先</t>
    <rPh sb="0" eb="2">
      <t>テイケイ</t>
    </rPh>
    <rPh sb="2" eb="3">
      <t>サキ</t>
    </rPh>
    <phoneticPr fontId="2"/>
  </si>
  <si>
    <t>提携先（なし）</t>
    <rPh sb="0" eb="2">
      <t>テイケイ</t>
    </rPh>
    <rPh sb="2" eb="3">
      <t>サキ</t>
    </rPh>
    <phoneticPr fontId="2"/>
  </si>
  <si>
    <t>提携先（大和以外のすべて）</t>
    <rPh sb="0" eb="2">
      <t>テイケイ</t>
    </rPh>
    <rPh sb="2" eb="3">
      <t>サキ</t>
    </rPh>
    <phoneticPr fontId="2"/>
  </si>
  <si>
    <t>提携先（大和・セット割あり）</t>
    <rPh sb="0" eb="2">
      <t>テイケイ</t>
    </rPh>
    <rPh sb="2" eb="3">
      <t>サキ</t>
    </rPh>
    <phoneticPr fontId="2"/>
  </si>
  <si>
    <t>提携先（大和・セット割なし）</t>
    <rPh sb="0" eb="2">
      <t>テイケイ</t>
    </rPh>
    <rPh sb="2" eb="3">
      <t>サキ</t>
    </rPh>
    <rPh sb="4" eb="6">
      <t>ヤマト</t>
    </rPh>
    <rPh sb="10" eb="11">
      <t>ワリ</t>
    </rPh>
    <phoneticPr fontId="2"/>
  </si>
  <si>
    <t>金額</t>
    <rPh sb="0" eb="2">
      <t>キンガク</t>
    </rPh>
    <phoneticPr fontId="2"/>
  </si>
  <si>
    <t>不動産の登記</t>
    <phoneticPr fontId="2"/>
  </si>
  <si>
    <t>登記の準備が整い次第、登記報酬として</t>
    <phoneticPr fontId="2"/>
  </si>
  <si>
    <t>ご契約時に、基本報酬の半金として</t>
    <phoneticPr fontId="2"/>
  </si>
  <si>
    <t>+実費+あれば加算料金をご</t>
    <phoneticPr fontId="2"/>
  </si>
  <si>
    <t>請求します。(司法書士業務に係る加算料金と実費に限る)</t>
    <phoneticPr fontId="2"/>
  </si>
  <si>
    <r>
      <t>金を</t>
    </r>
    <r>
      <rPr>
        <b/>
        <sz val="11"/>
        <color theme="3" tint="0.249977111117893"/>
        <rFont val="游ゴシック"/>
        <family val="3"/>
        <charset val="128"/>
        <scheme val="minor"/>
      </rPr>
      <t>最終金</t>
    </r>
    <r>
      <rPr>
        <sz val="11"/>
        <color theme="1"/>
        <rFont val="游ゴシック"/>
        <family val="2"/>
        <charset val="128"/>
        <scheme val="minor"/>
      </rPr>
      <t>としてご請求します。</t>
    </r>
    <r>
      <rPr>
        <sz val="10"/>
        <color theme="1"/>
        <rFont val="游ゴシック"/>
        <family val="3"/>
        <charset val="128"/>
        <scheme val="minor"/>
      </rPr>
      <t>(行政書士業務に係る実費と加算料金に限る)</t>
    </r>
    <phoneticPr fontId="2"/>
  </si>
  <si>
    <t>+実費+あれば加算料</t>
    <phoneticPr fontId="2"/>
  </si>
  <si>
    <t>以下、⒈⒉のリストに記載のあるものを、同封の返信用封筒にて弊社へご返送願います。</t>
    <rPh sb="0" eb="2">
      <t>イカ</t>
    </rPh>
    <rPh sb="10" eb="12">
      <t>キサイ</t>
    </rPh>
    <rPh sb="19" eb="21">
      <t>ドウフウ</t>
    </rPh>
    <rPh sb="22" eb="25">
      <t>ヘンシンヨウ</t>
    </rPh>
    <rPh sb="25" eb="27">
      <t>フウトウ</t>
    </rPh>
    <rPh sb="29" eb="31">
      <t>ヘイシャ</t>
    </rPh>
    <rPh sb="33" eb="35">
      <t>ヘンソウ</t>
    </rPh>
    <rPh sb="35" eb="36">
      <t>ネガ</t>
    </rPh>
    <phoneticPr fontId="2"/>
  </si>
  <si>
    <t>トレゾ横浜8階</t>
  </si>
  <si>
    <t>神奈川県横浜市神奈川区鶴屋町2-12-5</t>
    <rPh sb="13" eb="14">
      <t>マチ</t>
    </rPh>
    <phoneticPr fontId="2"/>
  </si>
  <si>
    <t>050-6864-7047</t>
    <phoneticPr fontId="2"/>
  </si>
  <si>
    <t>050-6875-3094</t>
    <phoneticPr fontId="2"/>
  </si>
  <si>
    <t>宮持</t>
    <phoneticPr fontId="2"/>
  </si>
  <si>
    <t>050-6864-7048</t>
    <phoneticPr fontId="2"/>
  </si>
  <si>
    <t>　安西伽奈美　</t>
    <phoneticPr fontId="2"/>
  </si>
  <si>
    <t>宮持玲那　</t>
    <phoneticPr fontId="2"/>
  </si>
  <si>
    <t>050-6860-4176</t>
    <phoneticPr fontId="2"/>
  </si>
  <si>
    <t xml:space="preserve"> 050-6883-0482</t>
    <phoneticPr fontId="2"/>
  </si>
  <si>
    <t>050-6875-3064</t>
    <phoneticPr fontId="2"/>
  </si>
  <si>
    <t>050-6875-3067</t>
    <phoneticPr fontId="2"/>
  </si>
  <si>
    <t>050-6861-3328</t>
    <phoneticPr fontId="2"/>
  </si>
  <si>
    <t>中島</t>
    <phoneticPr fontId="2"/>
  </si>
  <si>
    <t>中島絵里　</t>
    <phoneticPr fontId="2"/>
  </si>
  <si>
    <t>050-6883-6132</t>
    <phoneticPr fontId="2"/>
  </si>
  <si>
    <t>進藤</t>
    <phoneticPr fontId="2"/>
  </si>
  <si>
    <t>司馬</t>
    <phoneticPr fontId="2"/>
  </si>
  <si>
    <t>小島</t>
    <phoneticPr fontId="2"/>
  </si>
  <si>
    <t>福岡</t>
    <phoneticPr fontId="2"/>
  </si>
  <si>
    <t>050-6861-3349</t>
    <phoneticPr fontId="2"/>
  </si>
  <si>
    <t>050-6875-3087</t>
    <phoneticPr fontId="2"/>
  </si>
  <si>
    <t>小島文子　</t>
    <phoneticPr fontId="2"/>
  </si>
  <si>
    <t>進藤莉花　</t>
    <phoneticPr fontId="2"/>
  </si>
  <si>
    <t>福岡なつみ　</t>
    <phoneticPr fontId="2"/>
  </si>
  <si>
    <t>050-6875-3134</t>
    <phoneticPr fontId="2"/>
  </si>
  <si>
    <t>050-6875-3109</t>
    <phoneticPr fontId="2"/>
  </si>
  <si>
    <t>050-6875-3110</t>
    <phoneticPr fontId="2"/>
  </si>
  <si>
    <t>050-6875-3138</t>
    <phoneticPr fontId="2"/>
  </si>
  <si>
    <t>050-6875-3114</t>
    <phoneticPr fontId="2"/>
  </si>
  <si>
    <t>050-6875-3117</t>
    <phoneticPr fontId="2"/>
  </si>
  <si>
    <t>050-6875-3120</t>
    <phoneticPr fontId="2"/>
  </si>
  <si>
    <t>050-6875-3121</t>
    <phoneticPr fontId="2"/>
  </si>
  <si>
    <t>050-6875-3123</t>
    <phoneticPr fontId="2"/>
  </si>
  <si>
    <t>050-6875-3115</t>
    <phoneticPr fontId="2"/>
  </si>
  <si>
    <t>辻</t>
    <phoneticPr fontId="2"/>
  </si>
  <si>
    <t>植田</t>
    <phoneticPr fontId="2"/>
  </si>
  <si>
    <t>050-6875-3195</t>
    <phoneticPr fontId="2"/>
  </si>
  <si>
    <t>050-6875-3203</t>
    <phoneticPr fontId="2"/>
  </si>
  <si>
    <t>司馬里美　</t>
    <phoneticPr fontId="2"/>
  </si>
  <si>
    <t>辻充代　</t>
    <phoneticPr fontId="2"/>
  </si>
  <si>
    <t>植田愛望　</t>
    <phoneticPr fontId="2"/>
  </si>
  <si>
    <t>妹</t>
    <rPh sb="0" eb="1">
      <t>イモウト</t>
    </rPh>
    <phoneticPr fontId="3"/>
  </si>
  <si>
    <t>土居</t>
    <phoneticPr fontId="2"/>
  </si>
  <si>
    <t>050-6865-5246</t>
    <phoneticPr fontId="2"/>
  </si>
  <si>
    <t>土居八千代</t>
    <phoneticPr fontId="2"/>
  </si>
  <si>
    <t>森町</t>
    <phoneticPr fontId="2"/>
  </si>
  <si>
    <t>050-6864-7034</t>
    <phoneticPr fontId="2"/>
  </si>
  <si>
    <t>原山</t>
    <phoneticPr fontId="2"/>
  </si>
  <si>
    <t xml:space="preserve">03-6868-8941 </t>
    <phoneticPr fontId="2"/>
  </si>
  <si>
    <t>原山裕規</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</si>
</sst>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ggge&quot;年&quot;m&quot;月&quot;d&quot;日&quot;;@" x16r2:formatCode16="[$-ja-JP-x-gannen]ggge&quot;年&quot;m&quot;月&quot;d&quot;日&quot;;@"/>
    <numFmt numFmtId="177" formatCode="&quot;〒&quot;@"/>
    <numFmt numFmtId="178" formatCode="[$-411]ggge&quot;年&quot;m&quot;月&quot;d&quot;日&quot;;@"/>
    <numFmt numFmtId="179" formatCode="##,###&quot;円(税込)&quot;"/>
    <numFmt numFmtId="180" formatCode="&quot;TEL(代表)：&quot;@"/>
  </numFmts>
  <fonts count="114"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メイリオ"/>
      <family val="3"/>
      <charset val="128"/>
    </font>
    <font>
      <b/>
      <sz val="11"/>
      <color theme="1"/>
      <name val="メイリオ"/>
      <family val="3"/>
      <charset val="128"/>
    </font>
    <font>
      <b/>
      <sz val="11"/>
      <color theme="0"/>
      <name val="メイリオ"/>
      <family val="3"/>
      <charset val="128"/>
    </font>
    <font>
      <b/>
      <sz val="11"/>
      <color theme="1"/>
      <name val="Meiryo UI"/>
      <family val="3"/>
      <charset val="128"/>
    </font>
    <font>
      <sz val="11"/>
      <color theme="1"/>
      <name val="Meiryo UI"/>
      <family val="3"/>
      <charset val="128"/>
    </font>
    <font>
      <b/>
      <sz val="18"/>
      <color theme="1"/>
      <name val="メイリオ"/>
      <family val="3"/>
      <charset val="128"/>
    </font>
    <font>
      <sz val="11"/>
      <name val="ＭＳ 明朝"/>
      <family val="1"/>
      <charset val="128"/>
    </font>
    <font>
      <u/>
      <sz val="24"/>
      <name val="ＭＳ 明朝"/>
      <family val="1"/>
      <charset val="128"/>
    </font>
    <font>
      <sz val="6"/>
      <name val="ＭＳ Ｐゴシック"/>
      <family val="3"/>
      <charset val="128"/>
    </font>
    <font>
      <sz val="12"/>
      <name val="ＭＳ 明朝"/>
      <family val="1"/>
      <charset val="128"/>
    </font>
    <font>
      <sz val="16"/>
      <name val="ＭＳ 明朝"/>
      <family val="1"/>
      <charset val="128"/>
    </font>
    <font>
      <sz val="11"/>
      <color theme="1"/>
      <name val="ＭＳ 明朝"/>
      <family val="1"/>
      <charset val="128"/>
    </font>
    <font>
      <sz val="14"/>
      <name val="ＭＳ 明朝"/>
      <family val="1"/>
      <charset val="128"/>
    </font>
    <font>
      <sz val="6"/>
      <name val="游ゴシック"/>
      <family val="3"/>
      <charset val="128"/>
      <scheme val="minor"/>
    </font>
    <font>
      <sz val="12"/>
      <color theme="1"/>
      <name val="ＭＳ 明朝"/>
      <family val="1"/>
      <charset val="128"/>
    </font>
    <font>
      <sz val="11"/>
      <color theme="1"/>
      <name val="游ゴシック"/>
      <family val="3"/>
      <charset val="128"/>
      <scheme val="minor"/>
    </font>
    <font>
      <sz val="18"/>
      <color theme="1"/>
      <name val="ＭＳ 明朝"/>
      <family val="1"/>
      <charset val="128"/>
    </font>
    <font>
      <b/>
      <sz val="11"/>
      <color theme="1"/>
      <name val="ＭＳ 明朝"/>
      <family val="1"/>
      <charset val="128"/>
    </font>
    <font>
      <sz val="16"/>
      <color theme="1"/>
      <name val="ＭＳ 明朝"/>
      <family val="1"/>
      <charset val="128"/>
    </font>
    <font>
      <sz val="20"/>
      <color theme="1"/>
      <name val="ＭＳ 明朝"/>
      <family val="1"/>
      <charset val="128"/>
    </font>
    <font>
      <b/>
      <sz val="20"/>
      <color theme="1"/>
      <name val="ＭＳ 明朝"/>
      <family val="1"/>
      <charset val="128"/>
    </font>
    <font>
      <b/>
      <sz val="14"/>
      <color theme="1"/>
      <name val="ＭＳ 明朝"/>
      <family val="1"/>
      <charset val="128"/>
    </font>
    <font>
      <sz val="10.5"/>
      <color theme="1"/>
      <name val="ＭＳ 明朝"/>
      <family val="1"/>
      <charset val="128"/>
    </font>
    <font>
      <sz val="12"/>
      <color theme="1"/>
      <name val="游ゴシック"/>
      <family val="2"/>
      <charset val="128"/>
      <scheme val="minor"/>
    </font>
    <font>
      <b/>
      <sz val="18"/>
      <color theme="1"/>
      <name val="游明朝"/>
      <family val="1"/>
      <charset val="128"/>
    </font>
    <font>
      <b/>
      <sz val="14"/>
      <color theme="1"/>
      <name val="游明朝"/>
      <family val="1"/>
      <charset val="128"/>
    </font>
    <font>
      <sz val="11"/>
      <color theme="1"/>
      <name val="游明朝"/>
      <family val="1"/>
      <charset val="128"/>
    </font>
    <font>
      <sz val="11"/>
      <color theme="1"/>
      <name val="Segoe UI Symbol"/>
      <family val="1"/>
    </font>
    <font>
      <b/>
      <sz val="16"/>
      <color theme="1"/>
      <name val="游明朝"/>
      <family val="1"/>
      <charset val="128"/>
    </font>
    <font>
      <sz val="14"/>
      <color theme="1"/>
      <name val="游明朝"/>
      <family val="1"/>
      <charset val="128"/>
    </font>
    <font>
      <u/>
      <sz val="11"/>
      <color theme="1"/>
      <name val="游明朝"/>
      <family val="1"/>
      <charset val="128"/>
    </font>
    <font>
      <sz val="10"/>
      <color theme="1"/>
      <name val="游明朝"/>
      <family val="1"/>
      <charset val="128"/>
    </font>
    <font>
      <sz val="9"/>
      <color theme="1"/>
      <name val="游明朝"/>
      <family val="1"/>
      <charset val="128"/>
    </font>
    <font>
      <b/>
      <sz val="16"/>
      <color theme="1"/>
      <name val="Meiryo UI"/>
      <family val="3"/>
      <charset val="128"/>
    </font>
    <font>
      <b/>
      <sz val="14"/>
      <color theme="1"/>
      <name val="Meiryo UI"/>
      <family val="3"/>
      <charset val="128"/>
    </font>
    <font>
      <sz val="10"/>
      <color theme="1"/>
      <name val="Meiryo UI"/>
      <family val="3"/>
      <charset val="128"/>
    </font>
    <font>
      <sz val="9"/>
      <color theme="1"/>
      <name val="Meiryo UI"/>
      <family val="3"/>
      <charset val="128"/>
    </font>
    <font>
      <sz val="18"/>
      <color theme="1"/>
      <name val="Meiryo UI"/>
      <family val="3"/>
      <charset val="128"/>
    </font>
    <font>
      <b/>
      <sz val="18"/>
      <color theme="1"/>
      <name val="游ゴシック"/>
      <family val="3"/>
      <charset val="128"/>
      <scheme val="minor"/>
    </font>
    <font>
      <b/>
      <sz val="12"/>
      <color theme="1"/>
      <name val="游ゴシック"/>
      <family val="3"/>
      <charset val="128"/>
      <scheme val="minor"/>
    </font>
    <font>
      <b/>
      <sz val="20"/>
      <color theme="4" tint="-0.249977111117893"/>
      <name val="游ゴシック"/>
      <family val="3"/>
      <charset val="128"/>
      <scheme val="minor"/>
    </font>
    <font>
      <b/>
      <sz val="12"/>
      <color theme="4" tint="-0.249977111117893"/>
      <name val="游ゴシック"/>
      <family val="3"/>
      <charset val="128"/>
      <scheme val="minor"/>
    </font>
    <font>
      <b/>
      <u/>
      <sz val="12"/>
      <color theme="1"/>
      <name val="游ゴシック"/>
      <family val="3"/>
      <charset val="128"/>
      <scheme val="minor"/>
    </font>
    <font>
      <b/>
      <sz val="14"/>
      <color theme="1"/>
      <name val="游ゴシック"/>
      <family val="3"/>
      <charset val="128"/>
      <scheme val="minor"/>
    </font>
    <font>
      <sz val="9"/>
      <color theme="1"/>
      <name val="游ゴシック"/>
      <family val="3"/>
      <charset val="128"/>
      <scheme val="minor"/>
    </font>
    <font>
      <b/>
      <sz val="11"/>
      <color theme="4" tint="-0.249977111117893"/>
      <name val="游ゴシック"/>
      <family val="3"/>
      <charset val="128"/>
      <scheme val="minor"/>
    </font>
    <font>
      <u/>
      <sz val="11"/>
      <color theme="1"/>
      <name val="游ゴシック"/>
      <family val="3"/>
      <charset val="128"/>
      <scheme val="minor"/>
    </font>
    <font>
      <b/>
      <sz val="11"/>
      <color theme="3" tint="0.249977111117893"/>
      <name val="游ゴシック"/>
      <family val="3"/>
      <charset val="128"/>
      <scheme val="minor"/>
    </font>
    <font>
      <sz val="10"/>
      <color theme="1"/>
      <name val="游ゴシック"/>
      <family val="3"/>
      <charset val="128"/>
      <scheme val="minor"/>
    </font>
    <font>
      <sz val="10"/>
      <color indexed="8"/>
      <name val="ＭＳ ゴシック"/>
      <family val="3"/>
    </font>
    <font>
      <sz val="12"/>
      <color indexed="8"/>
      <name val="ＭＳ ゴシック"/>
      <family val="3"/>
    </font>
    <font>
      <sz val="28"/>
      <color indexed="8"/>
      <name val="ＭＳ Ｐゴシック"/>
      <family val="3"/>
    </font>
    <font>
      <sz val="16"/>
      <color indexed="8"/>
      <name val="ＭＳ Ｐゴシック"/>
      <family val="3"/>
      <charset val="128"/>
    </font>
    <font>
      <b/>
      <sz val="16"/>
      <color indexed="8"/>
      <name val="ＭＳ ゴシック"/>
      <family val="3"/>
    </font>
    <font>
      <sz val="12"/>
      <color indexed="8"/>
      <name val="ＭＳ Ｐゴシック"/>
      <family val="3"/>
      <charset val="128"/>
    </font>
    <font>
      <sz val="12"/>
      <color indexed="11"/>
      <name val="ＭＳ Ｐゴシック"/>
      <family val="3"/>
      <charset val="128"/>
    </font>
    <font>
      <sz val="14"/>
      <color theme="1"/>
      <name val="游ゴシック"/>
      <family val="3"/>
      <charset val="128"/>
      <scheme val="minor"/>
    </font>
    <font>
      <sz val="16"/>
      <color theme="1"/>
      <name val="游ゴシック"/>
      <family val="3"/>
      <charset val="128"/>
      <scheme val="minor"/>
    </font>
    <font>
      <sz val="12"/>
      <color theme="1"/>
      <name val="游ゴシック"/>
      <family val="3"/>
      <charset val="128"/>
      <scheme val="minor"/>
    </font>
    <font>
      <sz val="14"/>
      <color theme="1"/>
      <name val="ＭＳ 明朝"/>
      <family val="1"/>
      <charset val="128"/>
    </font>
    <font>
      <sz val="11"/>
      <color rgb="FFFF0000"/>
      <name val="游ゴシック"/>
      <family val="2"/>
      <charset val="128"/>
      <scheme val="minor"/>
    </font>
    <font>
      <sz val="6"/>
      <color theme="1"/>
      <name val="メイリオ"/>
      <family val="3"/>
      <charset val="128"/>
    </font>
    <font>
      <sz val="6"/>
      <color theme="1"/>
      <name val="游ゴシック"/>
      <family val="2"/>
      <charset val="128"/>
      <scheme val="minor"/>
    </font>
    <font>
      <sz val="6"/>
      <color theme="1"/>
      <name val="Meiryo UI"/>
      <family val="3"/>
      <charset val="128"/>
    </font>
    <font>
      <b/>
      <u/>
      <sz val="11"/>
      <color theme="1"/>
      <name val="游ゴシック"/>
      <family val="3"/>
      <charset val="128"/>
      <scheme val="minor"/>
    </font>
    <font>
      <sz val="11"/>
      <color theme="0"/>
      <name val="ＭＳ 明朝"/>
      <family val="1"/>
      <charset val="128"/>
    </font>
    <font>
      <sz val="10"/>
      <color theme="1"/>
      <name val="ＭＳ 明朝"/>
      <family val="1"/>
      <charset val="128"/>
    </font>
    <font>
      <sz val="10"/>
      <color theme="1"/>
      <name val="游ゴシック"/>
      <family val="2"/>
      <charset val="128"/>
      <scheme val="minor"/>
    </font>
    <font>
      <sz val="11"/>
      <name val="游ゴシック"/>
      <family val="2"/>
      <charset val="128"/>
      <scheme val="minor"/>
    </font>
    <font>
      <sz val="14"/>
      <color theme="0"/>
      <name val="ＭＳ 明朝"/>
      <family val="1"/>
      <charset val="128"/>
    </font>
    <font>
      <sz val="11"/>
      <color theme="1"/>
      <name val="游ゴシック"/>
      <family val="2"/>
      <scheme val="minor"/>
    </font>
    <font>
      <b/>
      <sz val="20"/>
      <color theme="1"/>
      <name val="游ゴシック"/>
      <family val="3"/>
      <charset val="128"/>
    </font>
    <font>
      <b/>
      <sz val="14"/>
      <color theme="1"/>
      <name val="游ゴシック"/>
      <family val="3"/>
      <charset val="128"/>
    </font>
    <font>
      <sz val="11"/>
      <color theme="1"/>
      <name val="游ゴシック"/>
      <family val="3"/>
      <charset val="128"/>
    </font>
    <font>
      <sz val="6"/>
      <name val="メイリオ"/>
      <family val="3"/>
      <charset val="128"/>
    </font>
    <font>
      <b/>
      <sz val="18"/>
      <color theme="1"/>
      <name val="游ゴシック"/>
      <family val="3"/>
      <charset val="128"/>
    </font>
    <font>
      <sz val="12"/>
      <color theme="1"/>
      <name val="游ゴシック"/>
      <family val="3"/>
      <charset val="128"/>
    </font>
    <font>
      <b/>
      <sz val="26"/>
      <color theme="1"/>
      <name val="ＭＳ 明朝"/>
      <family val="1"/>
      <charset val="128"/>
    </font>
    <font>
      <sz val="12"/>
      <color indexed="81"/>
      <name val="Meiryo UI"/>
      <family val="3"/>
      <charset val="128"/>
    </font>
    <font>
      <b/>
      <sz val="6"/>
      <color theme="1"/>
      <name val="メイリオ"/>
      <family val="3"/>
      <charset val="128"/>
    </font>
    <font>
      <b/>
      <sz val="8"/>
      <color theme="1"/>
      <name val="メイリオ"/>
      <family val="3"/>
      <charset val="128"/>
    </font>
    <font>
      <u/>
      <sz val="12"/>
      <color indexed="81"/>
      <name val="Meiryo UI"/>
      <family val="3"/>
      <charset val="128"/>
    </font>
    <font>
      <b/>
      <sz val="11"/>
      <color theme="3" tint="0.749992370372631"/>
      <name val="メイリオ"/>
      <family val="3"/>
      <charset val="128"/>
    </font>
    <font>
      <sz val="24"/>
      <color theme="1"/>
      <name val="ＭＳ 明朝"/>
      <family val="1"/>
      <charset val="128"/>
    </font>
    <font>
      <sz val="12"/>
      <color theme="1"/>
      <name val="HG丸ｺﾞｼｯｸM-PRO"/>
      <family val="3"/>
      <charset val="128"/>
    </font>
    <font>
      <sz val="8"/>
      <color theme="1"/>
      <name val="HG丸ｺﾞｼｯｸM-PRO"/>
      <family val="3"/>
      <charset val="128"/>
    </font>
    <font>
      <sz val="16"/>
      <color theme="1"/>
      <name val="ＭＳ Ｐゴシック"/>
      <family val="3"/>
      <charset val="128"/>
    </font>
    <font>
      <sz val="11"/>
      <color theme="1"/>
      <name val="ＭＳ Ｐゴシック"/>
      <family val="3"/>
      <charset val="128"/>
    </font>
    <font>
      <sz val="11"/>
      <color theme="1"/>
      <name val="ＭＳ Ｐ明朝"/>
      <family val="1"/>
      <charset val="128"/>
    </font>
    <font>
      <sz val="11"/>
      <color theme="1"/>
      <name val="HG丸ｺﾞｼｯｸM-PRO"/>
      <family val="3"/>
      <charset val="128"/>
    </font>
    <font>
      <sz val="12"/>
      <color theme="0" tint="-0.249977111117893"/>
      <name val="HG丸ｺﾞｼｯｸM-PRO"/>
      <family val="3"/>
      <charset val="128"/>
    </font>
    <font>
      <sz val="9"/>
      <color theme="1"/>
      <name val="HG丸ｺﾞｼｯｸM-PRO"/>
      <family val="3"/>
      <charset val="128"/>
    </font>
    <font>
      <sz val="28"/>
      <color theme="1"/>
      <name val="ＭＳ 明朝"/>
      <family val="1"/>
      <charset val="128"/>
    </font>
    <font>
      <sz val="6"/>
      <name val="ＭＳ 明朝"/>
      <family val="1"/>
      <charset val="128"/>
    </font>
    <font>
      <sz val="6"/>
      <color theme="0"/>
      <name val="ＭＳ 明朝"/>
      <family val="1"/>
      <charset val="128"/>
    </font>
    <font>
      <sz val="10.5"/>
      <color theme="1"/>
      <name val="游ゴシック"/>
      <family val="3"/>
      <charset val="128"/>
      <scheme val="minor"/>
    </font>
    <font>
      <b/>
      <u/>
      <sz val="14"/>
      <color theme="1"/>
      <name val="ＭＳ 明朝"/>
      <family val="1"/>
      <charset val="128"/>
    </font>
    <font>
      <sz val="10"/>
      <color theme="0"/>
      <name val="ＭＳ ゴシック"/>
      <family val="3"/>
    </font>
    <font>
      <sz val="12"/>
      <color theme="1"/>
      <name val="游ゴシック"/>
      <family val="2"/>
      <scheme val="minor"/>
    </font>
    <font>
      <b/>
      <sz val="16"/>
      <color theme="1"/>
      <name val="游ゴシック"/>
      <family val="3"/>
      <charset val="128"/>
    </font>
    <font>
      <sz val="9"/>
      <color theme="1"/>
      <name val="メイリオ"/>
      <family val="3"/>
      <charset val="128"/>
    </font>
    <font>
      <u/>
      <sz val="10"/>
      <color theme="1"/>
      <name val="游ゴシック"/>
      <family val="3"/>
      <charset val="128"/>
      <scheme val="minor"/>
    </font>
    <font>
      <b/>
      <sz val="6"/>
      <color theme="0"/>
      <name val="メイリオ"/>
      <family val="3"/>
      <charset val="128"/>
    </font>
    <font>
      <sz val="6"/>
      <color theme="0"/>
      <name val="Meiryo UI"/>
      <family val="3"/>
      <charset val="128"/>
    </font>
    <font>
      <sz val="6"/>
      <color theme="1"/>
      <name val="游ゴシック"/>
      <family val="3"/>
      <charset val="128"/>
      <scheme val="minor"/>
    </font>
    <font>
      <sz val="6"/>
      <color rgb="FF333333"/>
      <name val="游ゴシック"/>
      <family val="3"/>
      <charset val="128"/>
      <scheme val="minor"/>
    </font>
    <font>
      <sz val="14"/>
      <color theme="1"/>
      <name val="游ゴシック"/>
      <family val="2"/>
      <charset val="128"/>
      <scheme val="minor"/>
    </font>
    <font>
      <b/>
      <sz val="16"/>
      <color theme="1"/>
      <name val="游ゴシック"/>
      <family val="3"/>
      <charset val="128"/>
      <scheme val="minor"/>
    </font>
    <font>
      <sz val="9"/>
      <color theme="1"/>
      <name val="ＭＳ 明朝"/>
      <family val="1"/>
      <charset val="128"/>
    </font>
    <font>
      <sz val="6"/>
      <color theme="1"/>
      <name val="ＭＳ 明朝"/>
      <family val="1"/>
      <charset val="128"/>
    </font>
  </fonts>
  <fills count="16">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4"/>
        <bgColor indexed="64"/>
      </patternFill>
    </fill>
    <fill>
      <patternFill patternType="solid">
        <fgColor theme="2" tint="-9.9978637043366805E-2"/>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EF4CE"/>
        <bgColor indexed="64"/>
      </patternFill>
    </fill>
    <fill>
      <patternFill patternType="solid">
        <fgColor theme="0" tint="-0.34998626667073579"/>
        <bgColor indexed="64"/>
      </patternFill>
    </fill>
    <fill>
      <patternFill patternType="solid">
        <fgColor theme="0"/>
        <bgColor indexed="64"/>
      </patternFill>
    </fill>
    <fill>
      <patternFill patternType="solid">
        <fgColor theme="2" tint="-0.249977111117893"/>
        <bgColor indexed="64"/>
      </patternFill>
    </fill>
    <fill>
      <patternFill patternType="solid">
        <fgColor theme="1"/>
        <bgColor theme="1"/>
      </patternFill>
    </fill>
    <fill>
      <patternFill patternType="solid">
        <fgColor theme="0" tint="-0.14999847407452621"/>
        <bgColor theme="0" tint="-0.14999847407452621"/>
      </patternFill>
    </fill>
  </fills>
  <borders count="8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8"/>
      </right>
      <top/>
      <bottom/>
      <diagonal/>
    </border>
    <border>
      <left style="medium">
        <color indexed="8"/>
      </left>
      <right/>
      <top style="medium">
        <color indexed="8"/>
      </top>
      <bottom/>
      <diagonal/>
    </border>
    <border>
      <left/>
      <right style="medium">
        <color indexed="8"/>
      </right>
      <top style="medium">
        <color indexed="8"/>
      </top>
      <bottom/>
      <diagonal/>
    </border>
    <border>
      <left/>
      <right/>
      <top style="medium">
        <color indexed="8"/>
      </top>
      <bottom/>
      <diagonal/>
    </border>
    <border>
      <left style="medium">
        <color indexed="8"/>
      </left>
      <right/>
      <top/>
      <bottom/>
      <diagonal/>
    </border>
    <border>
      <left/>
      <right/>
      <top/>
      <bottom style="thin">
        <color indexed="10"/>
      </bottom>
      <diagonal/>
    </border>
    <border>
      <left style="medium">
        <color indexed="8"/>
      </left>
      <right/>
      <top/>
      <bottom style="medium">
        <color indexed="8"/>
      </bottom>
      <diagonal/>
    </border>
    <border>
      <left/>
      <right style="medium">
        <color indexed="8"/>
      </right>
      <top/>
      <bottom style="medium">
        <color indexed="8"/>
      </bottom>
      <diagonal/>
    </border>
    <border>
      <left/>
      <right/>
      <top/>
      <bottom style="medium">
        <color indexed="8"/>
      </bottom>
      <diagonal/>
    </border>
    <border>
      <left/>
      <right/>
      <top style="thin">
        <color indexed="10"/>
      </top>
      <bottom/>
      <diagonal/>
    </border>
    <border>
      <left style="medium">
        <color indexed="11"/>
      </left>
      <right/>
      <top style="medium">
        <color indexed="11"/>
      </top>
      <bottom/>
      <diagonal/>
    </border>
    <border>
      <left/>
      <right/>
      <top style="medium">
        <color indexed="11"/>
      </top>
      <bottom/>
      <diagonal/>
    </border>
    <border>
      <left/>
      <right style="medium">
        <color indexed="11"/>
      </right>
      <top style="medium">
        <color indexed="11"/>
      </top>
      <bottom/>
      <diagonal/>
    </border>
    <border>
      <left style="medium">
        <color indexed="11"/>
      </left>
      <right/>
      <top/>
      <bottom/>
      <diagonal/>
    </border>
    <border>
      <left/>
      <right style="medium">
        <color indexed="11"/>
      </right>
      <top/>
      <bottom/>
      <diagonal/>
    </border>
    <border>
      <left style="medium">
        <color indexed="11"/>
      </left>
      <right/>
      <top/>
      <bottom style="medium">
        <color indexed="11"/>
      </bottom>
      <diagonal/>
    </border>
    <border>
      <left/>
      <right/>
      <top/>
      <bottom style="medium">
        <color indexed="11"/>
      </bottom>
      <diagonal/>
    </border>
    <border>
      <left/>
      <right style="medium">
        <color indexed="11"/>
      </right>
      <top/>
      <bottom style="medium">
        <color indexed="11"/>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top style="thin">
        <color indexed="10"/>
      </top>
      <bottom/>
      <diagonal/>
    </border>
    <border>
      <left/>
      <right style="thin">
        <color indexed="10"/>
      </right>
      <top style="thin">
        <color indexed="10"/>
      </top>
      <bottom/>
      <diagonal/>
    </border>
    <border>
      <left style="thin">
        <color indexed="10"/>
      </left>
      <right/>
      <top/>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5">
    <xf numFmtId="0" fontId="0" fillId="0" borderId="0">
      <alignment vertical="center"/>
    </xf>
    <xf numFmtId="38" fontId="1" fillId="0" borderId="0" applyFont="0" applyFill="0" applyBorder="0" applyAlignment="0" applyProtection="0">
      <alignment vertical="center"/>
    </xf>
    <xf numFmtId="0" fontId="74" fillId="0" borderId="0"/>
    <xf numFmtId="0" fontId="19" fillId="0" borderId="0">
      <alignment vertical="center"/>
    </xf>
    <xf numFmtId="0" fontId="19" fillId="0" borderId="0">
      <alignment vertical="center"/>
    </xf>
  </cellStyleXfs>
  <cellXfs count="487">
    <xf numFmtId="0" fontId="0" fillId="0" borderId="0" xfId="0">
      <alignment vertical="center"/>
    </xf>
    <xf numFmtId="0" fontId="0" fillId="0" borderId="0" xfId="0" applyAlignment="1">
      <alignment horizontal="center" vertical="center"/>
    </xf>
    <xf numFmtId="0" fontId="3" fillId="0" borderId="0" xfId="0" applyFont="1" applyAlignment="1">
      <alignment horizontal="center" vertical="center"/>
    </xf>
    <xf numFmtId="0" fontId="4" fillId="0" borderId="0" xfId="0" applyFont="1">
      <alignment vertical="center"/>
    </xf>
    <xf numFmtId="0" fontId="6" fillId="2" borderId="1" xfId="0" applyFont="1" applyFill="1" applyBorder="1" applyAlignment="1">
      <alignment horizontal="right" vertical="center"/>
    </xf>
    <xf numFmtId="0" fontId="8" fillId="0" borderId="0" xfId="0" applyFont="1">
      <alignment vertical="center"/>
    </xf>
    <xf numFmtId="0" fontId="8" fillId="0" borderId="0" xfId="0" applyFont="1" applyAlignment="1">
      <alignment horizontal="center" vertical="center"/>
    </xf>
    <xf numFmtId="0" fontId="9" fillId="0" borderId="0" xfId="0" applyFont="1">
      <alignment vertical="center"/>
    </xf>
    <xf numFmtId="0" fontId="10" fillId="0" borderId="0" xfId="0" applyFont="1">
      <alignment vertical="center"/>
    </xf>
    <xf numFmtId="0" fontId="11" fillId="0" borderId="0" xfId="0" applyFont="1">
      <alignment vertical="center"/>
    </xf>
    <xf numFmtId="0" fontId="13" fillId="0" borderId="0" xfId="0" applyFont="1">
      <alignment vertical="center"/>
    </xf>
    <xf numFmtId="0" fontId="10" fillId="0" borderId="0" xfId="0" applyFont="1" applyAlignment="1">
      <alignment horizontal="right" vertical="center"/>
    </xf>
    <xf numFmtId="0" fontId="13" fillId="0" borderId="12" xfId="0" applyFont="1" applyBorder="1" applyAlignment="1">
      <alignment horizontal="center" vertical="center"/>
    </xf>
    <xf numFmtId="0" fontId="13" fillId="0" borderId="10" xfId="0" applyFont="1" applyBorder="1">
      <alignment vertical="center"/>
    </xf>
    <xf numFmtId="0" fontId="13" fillId="0" borderId="11" xfId="0" applyFont="1" applyBorder="1">
      <alignment vertical="center"/>
    </xf>
    <xf numFmtId="0" fontId="13" fillId="0" borderId="8" xfId="0" applyFont="1" applyBorder="1">
      <alignment vertical="center"/>
    </xf>
    <xf numFmtId="0" fontId="13" fillId="0" borderId="2" xfId="0" applyFont="1" applyBorder="1">
      <alignment vertical="center"/>
    </xf>
    <xf numFmtId="0" fontId="0" fillId="0" borderId="0" xfId="0" applyAlignment="1">
      <alignment vertical="center" wrapText="1"/>
    </xf>
    <xf numFmtId="0" fontId="15" fillId="0" borderId="0" xfId="0" applyFont="1">
      <alignment vertical="center"/>
    </xf>
    <xf numFmtId="0" fontId="14" fillId="0" borderId="0" xfId="0" applyFont="1" applyAlignment="1"/>
    <xf numFmtId="0" fontId="15" fillId="0" borderId="0" xfId="0" applyFont="1" applyAlignment="1">
      <alignment horizontal="center" vertical="center"/>
    </xf>
    <xf numFmtId="177" fontId="10" fillId="0" borderId="0" xfId="0" applyNumberFormat="1" applyFont="1" applyAlignment="1">
      <alignment horizontal="right" vertical="center"/>
    </xf>
    <xf numFmtId="0" fontId="15" fillId="0" borderId="0" xfId="0" applyFont="1" applyAlignment="1">
      <alignment horizontal="right"/>
    </xf>
    <xf numFmtId="0" fontId="15" fillId="0" borderId="0" xfId="0" applyFont="1" applyAlignment="1"/>
    <xf numFmtId="0" fontId="15" fillId="0" borderId="0" xfId="0" applyFont="1" applyAlignment="1">
      <alignment vertical="top"/>
    </xf>
    <xf numFmtId="0" fontId="18" fillId="0" borderId="0" xfId="0" applyFont="1">
      <alignment vertical="center"/>
    </xf>
    <xf numFmtId="0" fontId="25" fillId="5" borderId="1" xfId="0" applyFont="1" applyFill="1" applyBorder="1" applyAlignment="1">
      <alignment horizontal="center" vertical="center"/>
    </xf>
    <xf numFmtId="0" fontId="18" fillId="0" borderId="0" xfId="0" applyFont="1" applyAlignment="1">
      <alignment horizontal="left" vertical="center"/>
    </xf>
    <xf numFmtId="0" fontId="15" fillId="0" borderId="0" xfId="0" applyFont="1" applyAlignment="1">
      <alignment horizontal="center" vertical="top"/>
    </xf>
    <xf numFmtId="0" fontId="26" fillId="0" borderId="0" xfId="0" applyFont="1" applyAlignment="1">
      <alignment horizontal="left" vertical="center"/>
    </xf>
    <xf numFmtId="0" fontId="18" fillId="0" borderId="2" xfId="0" applyFont="1" applyBorder="1" applyAlignment="1">
      <alignment horizontal="center" vertical="center" wrapText="1"/>
    </xf>
    <xf numFmtId="0" fontId="27" fillId="0" borderId="0" xfId="0" applyFont="1">
      <alignment vertical="center"/>
    </xf>
    <xf numFmtId="0" fontId="18" fillId="0" borderId="0" xfId="0" applyFont="1" applyAlignment="1">
      <alignment vertical="top"/>
    </xf>
    <xf numFmtId="0" fontId="27" fillId="0" borderId="2" xfId="0" applyFont="1" applyBorder="1">
      <alignment vertical="center"/>
    </xf>
    <xf numFmtId="0" fontId="18" fillId="0" borderId="2" xfId="0" applyFont="1" applyBorder="1">
      <alignment vertical="center"/>
    </xf>
    <xf numFmtId="0" fontId="4" fillId="0" borderId="0" xfId="0" applyFont="1" applyAlignment="1">
      <alignment vertical="center" shrinkToFit="1"/>
    </xf>
    <xf numFmtId="0" fontId="21" fillId="0" borderId="0" xfId="0" applyFont="1" applyAlignment="1"/>
    <xf numFmtId="0" fontId="29" fillId="0" borderId="0" xfId="0" applyFont="1">
      <alignment vertical="center"/>
    </xf>
    <xf numFmtId="0" fontId="30" fillId="0" borderId="0" xfId="0" applyFont="1">
      <alignment vertical="center"/>
    </xf>
    <xf numFmtId="0" fontId="32" fillId="0" borderId="0" xfId="0" applyFont="1" applyAlignment="1">
      <alignment horizontal="center" vertical="center"/>
    </xf>
    <xf numFmtId="0" fontId="32" fillId="0" borderId="0" xfId="0" applyFont="1">
      <alignment vertical="center"/>
    </xf>
    <xf numFmtId="0" fontId="29" fillId="0" borderId="2" xfId="0" applyFont="1" applyBorder="1">
      <alignment vertical="center"/>
    </xf>
    <xf numFmtId="0" fontId="33" fillId="0" borderId="0" xfId="0" applyFont="1">
      <alignment vertical="center"/>
    </xf>
    <xf numFmtId="0" fontId="30" fillId="0" borderId="2" xfId="0" applyFont="1" applyBorder="1">
      <alignment vertical="center"/>
    </xf>
    <xf numFmtId="0" fontId="33" fillId="0" borderId="0" xfId="0" applyFont="1" applyAlignment="1">
      <alignment horizontal="center" vertical="center"/>
    </xf>
    <xf numFmtId="0" fontId="29" fillId="0" borderId="10" xfId="0" applyFont="1" applyBorder="1">
      <alignment vertical="center"/>
    </xf>
    <xf numFmtId="0" fontId="29" fillId="0" borderId="11" xfId="0" applyFont="1" applyBorder="1">
      <alignment vertical="center"/>
    </xf>
    <xf numFmtId="0" fontId="29" fillId="0" borderId="8" xfId="0" applyFont="1" applyBorder="1">
      <alignment vertical="center"/>
    </xf>
    <xf numFmtId="0" fontId="29" fillId="0" borderId="12" xfId="0" applyFont="1" applyBorder="1">
      <alignment vertical="center"/>
    </xf>
    <xf numFmtId="0" fontId="29" fillId="0" borderId="13" xfId="0" applyFont="1" applyBorder="1">
      <alignment vertical="center"/>
    </xf>
    <xf numFmtId="0" fontId="29" fillId="0" borderId="7" xfId="0" applyFont="1" applyBorder="1">
      <alignment vertical="center"/>
    </xf>
    <xf numFmtId="0" fontId="29" fillId="0" borderId="5" xfId="0" applyFont="1" applyBorder="1">
      <alignment vertical="center"/>
    </xf>
    <xf numFmtId="49" fontId="29" fillId="0" borderId="0" xfId="0" applyNumberFormat="1" applyFont="1" applyAlignment="1">
      <alignment horizontal="left"/>
    </xf>
    <xf numFmtId="0" fontId="35" fillId="0" borderId="0" xfId="0" applyFont="1">
      <alignment vertical="center"/>
    </xf>
    <xf numFmtId="0" fontId="37" fillId="0" borderId="0" xfId="0" applyFont="1">
      <alignment vertical="center"/>
    </xf>
    <xf numFmtId="0" fontId="38" fillId="0" borderId="0" xfId="0" applyFont="1" applyAlignment="1">
      <alignment horizontal="left" vertical="center"/>
    </xf>
    <xf numFmtId="0" fontId="8" fillId="6" borderId="16" xfId="0" applyFont="1" applyFill="1" applyBorder="1" applyAlignment="1">
      <alignment horizontal="center" vertical="center"/>
    </xf>
    <xf numFmtId="0" fontId="8" fillId="0" borderId="8" xfId="0" applyFont="1" applyBorder="1">
      <alignment vertical="center"/>
    </xf>
    <xf numFmtId="0" fontId="7" fillId="0" borderId="18" xfId="0" applyFont="1" applyBorder="1" applyAlignment="1">
      <alignment horizontal="center" vertical="center"/>
    </xf>
    <xf numFmtId="0" fontId="8" fillId="0" borderId="19" xfId="0" applyFont="1" applyBorder="1" applyAlignment="1">
      <alignment horizontal="left" vertical="center"/>
    </xf>
    <xf numFmtId="0" fontId="8" fillId="0" borderId="20" xfId="0" applyFont="1" applyBorder="1" applyAlignment="1">
      <alignment horizontal="left" vertical="center"/>
    </xf>
    <xf numFmtId="0" fontId="7" fillId="0" borderId="21" xfId="0" applyFont="1" applyBorder="1" applyAlignment="1">
      <alignment horizontal="center" vertical="center"/>
    </xf>
    <xf numFmtId="0" fontId="8" fillId="0" borderId="19" xfId="0" applyFont="1" applyBorder="1">
      <alignment vertical="center"/>
    </xf>
    <xf numFmtId="0" fontId="8" fillId="0" borderId="20" xfId="0" applyFont="1" applyBorder="1">
      <alignment vertical="center"/>
    </xf>
    <xf numFmtId="0" fontId="8" fillId="0" borderId="16" xfId="0" applyFont="1" applyBorder="1" applyAlignment="1">
      <alignment horizontal="center" vertical="center"/>
    </xf>
    <xf numFmtId="0" fontId="42" fillId="0" borderId="0" xfId="0" applyFont="1" applyAlignment="1">
      <alignment horizontal="center" vertical="center"/>
    </xf>
    <xf numFmtId="0" fontId="43" fillId="0" borderId="0" xfId="0" applyFont="1" applyAlignment="1">
      <alignment horizontal="center" vertical="center"/>
    </xf>
    <xf numFmtId="0" fontId="47" fillId="0" borderId="0" xfId="0" applyFont="1" applyAlignment="1">
      <alignment vertical="center" wrapText="1"/>
    </xf>
    <xf numFmtId="0" fontId="43" fillId="0" borderId="0" xfId="0" applyFont="1">
      <alignment vertical="center"/>
    </xf>
    <xf numFmtId="0" fontId="19" fillId="0" borderId="0" xfId="0" applyFont="1" applyAlignment="1">
      <alignment vertical="center" wrapText="1"/>
    </xf>
    <xf numFmtId="0" fontId="19" fillId="0" borderId="0" xfId="0" applyFont="1" applyAlignment="1">
      <alignment vertical="top" wrapText="1"/>
    </xf>
    <xf numFmtId="0" fontId="0" fillId="0" borderId="0" xfId="0" applyAlignment="1">
      <alignment vertical="top"/>
    </xf>
    <xf numFmtId="0" fontId="19" fillId="0" borderId="0" xfId="0" applyFont="1" applyAlignment="1">
      <alignment horizontal="left" vertical="center" wrapText="1"/>
    </xf>
    <xf numFmtId="0" fontId="3" fillId="0" borderId="0" xfId="0" applyFont="1">
      <alignment vertical="center"/>
    </xf>
    <xf numFmtId="0" fontId="46" fillId="0" borderId="0" xfId="0" applyFont="1" applyAlignment="1"/>
    <xf numFmtId="0" fontId="0" fillId="7" borderId="0" xfId="0" applyFill="1">
      <alignment vertical="center"/>
    </xf>
    <xf numFmtId="0" fontId="6" fillId="2" borderId="1" xfId="0" applyFont="1" applyFill="1" applyBorder="1" applyAlignment="1">
      <alignment horizontal="right" vertical="center" shrinkToFit="1"/>
    </xf>
    <xf numFmtId="0" fontId="53" fillId="0" borderId="0" xfId="0" applyFont="1" applyAlignment="1">
      <alignment vertical="center" shrinkToFit="1"/>
    </xf>
    <xf numFmtId="0" fontId="53" fillId="0" borderId="0" xfId="0" applyFont="1">
      <alignment vertical="center"/>
    </xf>
    <xf numFmtId="0" fontId="53" fillId="0" borderId="24" xfId="0" applyFont="1" applyBorder="1" applyAlignment="1">
      <alignment vertical="center" shrinkToFit="1"/>
    </xf>
    <xf numFmtId="0" fontId="53" fillId="0" borderId="25" xfId="0" applyFont="1" applyBorder="1" applyAlignment="1">
      <alignment vertical="center" shrinkToFit="1"/>
    </xf>
    <xf numFmtId="0" fontId="53" fillId="0" borderId="26" xfId="0" applyFont="1" applyBorder="1" applyAlignment="1">
      <alignment vertical="center" shrinkToFit="1"/>
    </xf>
    <xf numFmtId="0" fontId="53" fillId="0" borderId="27" xfId="0" applyFont="1" applyBorder="1" applyAlignment="1">
      <alignment vertical="center" shrinkToFit="1"/>
    </xf>
    <xf numFmtId="0" fontId="53" fillId="0" borderId="28" xfId="0" applyFont="1" applyBorder="1" applyAlignment="1">
      <alignment vertical="center" shrinkToFit="1"/>
    </xf>
    <xf numFmtId="0" fontId="53" fillId="0" borderId="0" xfId="0" applyFont="1" applyAlignment="1">
      <alignment horizontal="center" vertical="center" shrinkToFit="1"/>
    </xf>
    <xf numFmtId="0" fontId="53" fillId="0" borderId="29" xfId="0" applyFont="1" applyBorder="1">
      <alignment vertical="center"/>
    </xf>
    <xf numFmtId="0" fontId="53" fillId="0" borderId="30" xfId="0" applyFont="1" applyBorder="1" applyAlignment="1">
      <alignment vertical="center" shrinkToFit="1"/>
    </xf>
    <xf numFmtId="0" fontId="53" fillId="0" borderId="31" xfId="0" applyFont="1" applyBorder="1" applyAlignment="1">
      <alignment vertical="center" shrinkToFit="1"/>
    </xf>
    <xf numFmtId="0" fontId="53" fillId="0" borderId="32" xfId="0" applyFont="1" applyBorder="1" applyAlignment="1">
      <alignment vertical="center" shrinkToFit="1"/>
    </xf>
    <xf numFmtId="0" fontId="53" fillId="0" borderId="33" xfId="0" applyFont="1" applyBorder="1">
      <alignment vertical="center"/>
    </xf>
    <xf numFmtId="0" fontId="53" fillId="0" borderId="42" xfId="0" applyFont="1" applyBorder="1" applyAlignment="1">
      <alignment vertical="center" shrinkToFit="1"/>
    </xf>
    <xf numFmtId="0" fontId="53" fillId="0" borderId="43" xfId="0" applyFont="1" applyBorder="1" applyAlignment="1">
      <alignment vertical="center" shrinkToFit="1"/>
    </xf>
    <xf numFmtId="0" fontId="53" fillId="0" borderId="44" xfId="0" applyFont="1" applyBorder="1">
      <alignment vertical="center"/>
    </xf>
    <xf numFmtId="0" fontId="53" fillId="0" borderId="45" xfId="0" applyFont="1" applyBorder="1" applyAlignment="1">
      <alignment vertical="center" shrinkToFit="1"/>
    </xf>
    <xf numFmtId="0" fontId="53" fillId="0" borderId="44" xfId="0" applyFont="1" applyBorder="1" applyAlignment="1">
      <alignment vertical="center" shrinkToFit="1"/>
    </xf>
    <xf numFmtId="0" fontId="53" fillId="0" borderId="46" xfId="0" applyFont="1" applyBorder="1">
      <alignment vertical="center"/>
    </xf>
    <xf numFmtId="0" fontId="0" fillId="0" borderId="0" xfId="0" applyAlignment="1"/>
    <xf numFmtId="0" fontId="0" fillId="0" borderId="0" xfId="0" applyAlignment="1">
      <alignment horizontal="left"/>
    </xf>
    <xf numFmtId="0" fontId="63" fillId="0" borderId="2" xfId="0" applyFont="1" applyBorder="1" applyAlignment="1">
      <alignment horizontal="center" vertical="center"/>
    </xf>
    <xf numFmtId="0" fontId="63" fillId="0" borderId="0" xfId="0" applyFont="1" applyAlignment="1"/>
    <xf numFmtId="0" fontId="63" fillId="0" borderId="15" xfId="0" applyFont="1" applyBorder="1" applyAlignment="1">
      <alignment horizontal="center"/>
    </xf>
    <xf numFmtId="0" fontId="63" fillId="0" borderId="15" xfId="0" applyFont="1" applyBorder="1" applyAlignment="1">
      <alignment horizontal="center" wrapText="1"/>
    </xf>
    <xf numFmtId="0" fontId="63" fillId="0" borderId="15" xfId="0" applyFont="1" applyBorder="1" applyAlignment="1">
      <alignment horizontal="justify" wrapText="1"/>
    </xf>
    <xf numFmtId="0" fontId="63" fillId="0" borderId="15" xfId="0" applyFont="1" applyBorder="1" applyAlignment="1"/>
    <xf numFmtId="0" fontId="15" fillId="0" borderId="0" xfId="0" applyFont="1" applyAlignment="1">
      <alignment wrapText="1"/>
    </xf>
    <xf numFmtId="0" fontId="63" fillId="0" borderId="0" xfId="0" applyFont="1" applyAlignment="1">
      <alignment wrapText="1"/>
    </xf>
    <xf numFmtId="0" fontId="15" fillId="0" borderId="0" xfId="0" applyFont="1" applyAlignment="1">
      <alignment vertical="center" wrapText="1"/>
    </xf>
    <xf numFmtId="0" fontId="32" fillId="0" borderId="0" xfId="0" applyFont="1" applyAlignment="1"/>
    <xf numFmtId="0" fontId="32" fillId="0" borderId="0" xfId="0" applyFont="1" applyAlignment="1">
      <alignment horizontal="right"/>
    </xf>
    <xf numFmtId="0" fontId="64" fillId="0" borderId="0" xfId="0" applyFont="1" applyAlignment="1">
      <alignment horizontal="right" vertical="center"/>
    </xf>
    <xf numFmtId="0" fontId="63" fillId="0" borderId="1" xfId="0" applyFont="1" applyBorder="1" applyAlignment="1">
      <alignment horizontal="center" vertical="center" wrapText="1"/>
    </xf>
    <xf numFmtId="0" fontId="63" fillId="0" borderId="1" xfId="0" applyFont="1" applyBorder="1" applyAlignment="1">
      <alignment horizontal="center" vertical="center" wrapText="1" shrinkToFit="1"/>
    </xf>
    <xf numFmtId="0" fontId="22" fillId="0" borderId="2" xfId="0" applyFont="1" applyBorder="1" applyAlignment="1">
      <alignment horizontal="left"/>
    </xf>
    <xf numFmtId="0" fontId="22" fillId="0" borderId="15" xfId="0" applyFont="1" applyBorder="1" applyAlignment="1">
      <alignment horizontal="left"/>
    </xf>
    <xf numFmtId="0" fontId="39" fillId="0" borderId="6" xfId="0" applyFont="1" applyBorder="1" applyAlignment="1">
      <alignment horizontal="left" vertical="center"/>
    </xf>
    <xf numFmtId="0" fontId="24" fillId="0" borderId="0" xfId="0" applyFont="1" applyAlignment="1">
      <alignment horizontal="center" vertical="center"/>
    </xf>
    <xf numFmtId="0" fontId="8" fillId="0" borderId="9" xfId="0" applyFont="1" applyBorder="1" applyAlignment="1">
      <alignment horizontal="left" vertical="center" shrinkToFit="1"/>
    </xf>
    <xf numFmtId="0" fontId="4" fillId="0" borderId="0" xfId="0" applyFont="1" applyAlignment="1">
      <alignment horizontal="center" vertical="center"/>
    </xf>
    <xf numFmtId="0" fontId="65" fillId="0" borderId="1" xfId="0" applyFont="1" applyBorder="1" applyAlignment="1">
      <alignment horizontal="center" vertical="center"/>
    </xf>
    <xf numFmtId="38" fontId="65" fillId="0" borderId="1" xfId="1" applyFont="1" applyBorder="1" applyAlignment="1">
      <alignment horizontal="center" vertical="center"/>
    </xf>
    <xf numFmtId="0" fontId="65" fillId="0" borderId="1" xfId="0" applyFont="1" applyBorder="1">
      <alignment vertical="center"/>
    </xf>
    <xf numFmtId="0" fontId="65" fillId="0" borderId="1" xfId="0" applyFont="1" applyBorder="1" applyAlignment="1">
      <alignment vertical="center" wrapText="1"/>
    </xf>
    <xf numFmtId="0" fontId="66" fillId="0" borderId="1" xfId="0" applyFont="1" applyBorder="1">
      <alignment vertical="center"/>
    </xf>
    <xf numFmtId="0" fontId="65" fillId="0" borderId="1" xfId="0" applyFont="1" applyBorder="1" applyAlignment="1">
      <alignment horizontal="center" vertical="center" wrapText="1"/>
    </xf>
    <xf numFmtId="0" fontId="4" fillId="0" borderId="0" xfId="0" applyFont="1" applyAlignment="1">
      <alignment horizontal="left"/>
    </xf>
    <xf numFmtId="0" fontId="4" fillId="0" borderId="0" xfId="0" applyFont="1" applyAlignment="1">
      <alignment shrinkToFit="1"/>
    </xf>
    <xf numFmtId="0" fontId="8" fillId="0" borderId="8" xfId="0" applyFont="1" applyBorder="1" applyAlignment="1">
      <alignment horizontal="center" vertical="center"/>
    </xf>
    <xf numFmtId="0" fontId="67" fillId="0" borderId="1" xfId="0" applyFont="1" applyBorder="1" applyAlignment="1">
      <alignment horizontal="center" vertical="center" wrapText="1" shrinkToFit="1"/>
    </xf>
    <xf numFmtId="0" fontId="67" fillId="0" borderId="1" xfId="0" applyFont="1" applyBorder="1" applyAlignment="1">
      <alignment horizontal="justify" vertical="top" wrapText="1"/>
    </xf>
    <xf numFmtId="0" fontId="67" fillId="0" borderId="1" xfId="0" applyFont="1" applyBorder="1" applyAlignment="1">
      <alignment horizontal="center" vertical="center" wrapText="1"/>
    </xf>
    <xf numFmtId="0" fontId="67" fillId="0" borderId="1" xfId="0" applyFont="1" applyBorder="1">
      <alignment vertical="center"/>
    </xf>
    <xf numFmtId="0" fontId="47" fillId="0" borderId="0" xfId="0" applyFont="1" applyAlignment="1">
      <alignment horizontal="center" vertical="center" wrapText="1"/>
    </xf>
    <xf numFmtId="0" fontId="43" fillId="7" borderId="0" xfId="0" applyFont="1" applyFill="1" applyAlignment="1">
      <alignment vertical="center" wrapText="1"/>
    </xf>
    <xf numFmtId="0" fontId="43" fillId="8" borderId="0" xfId="0" applyFont="1" applyFill="1" applyAlignment="1">
      <alignment vertical="center" wrapText="1"/>
    </xf>
    <xf numFmtId="0" fontId="3" fillId="7" borderId="0" xfId="0" applyFont="1" applyFill="1" applyAlignment="1">
      <alignment vertical="top"/>
    </xf>
    <xf numFmtId="0" fontId="0" fillId="7" borderId="0" xfId="0" applyFill="1" applyAlignment="1">
      <alignment vertical="top"/>
    </xf>
    <xf numFmtId="0" fontId="0" fillId="8" borderId="0" xfId="0" applyFill="1" applyAlignment="1">
      <alignment vertical="top"/>
    </xf>
    <xf numFmtId="0" fontId="19" fillId="7" borderId="0" xfId="0" applyFont="1" applyFill="1" applyAlignment="1">
      <alignment vertical="center" wrapText="1"/>
    </xf>
    <xf numFmtId="0" fontId="19" fillId="8" borderId="0" xfId="0" applyFont="1" applyFill="1" applyAlignment="1">
      <alignment vertical="center" wrapText="1"/>
    </xf>
    <xf numFmtId="0" fontId="0" fillId="7" borderId="0" xfId="0" applyFill="1" applyAlignment="1">
      <alignment vertical="top" wrapText="1"/>
    </xf>
    <xf numFmtId="0" fontId="0" fillId="8" borderId="0" xfId="0" applyFill="1" applyAlignment="1">
      <alignment vertical="top" wrapText="1"/>
    </xf>
    <xf numFmtId="0" fontId="3" fillId="0" borderId="0" xfId="0" applyFont="1" applyAlignment="1">
      <alignment horizontal="left" vertical="center"/>
    </xf>
    <xf numFmtId="177" fontId="0" fillId="0" borderId="0" xfId="0" applyNumberFormat="1">
      <alignment vertical="center"/>
    </xf>
    <xf numFmtId="0" fontId="64" fillId="0" borderId="0" xfId="0" applyFont="1" applyAlignment="1">
      <alignment vertical="center" shrinkToFit="1"/>
    </xf>
    <xf numFmtId="0" fontId="0" fillId="0" borderId="0" xfId="0" applyAlignment="1">
      <alignment vertical="center" shrinkToFit="1"/>
    </xf>
    <xf numFmtId="0" fontId="67" fillId="0" borderId="1" xfId="0" applyFont="1" applyBorder="1" applyAlignment="1">
      <alignment vertical="center" wrapText="1"/>
    </xf>
    <xf numFmtId="0" fontId="69" fillId="0" borderId="0" xfId="0" applyFont="1" applyAlignment="1"/>
    <xf numFmtId="0" fontId="20" fillId="0" borderId="0" xfId="0" applyFont="1">
      <alignment vertical="center"/>
    </xf>
    <xf numFmtId="0" fontId="23" fillId="0" borderId="0" xfId="0" applyFont="1">
      <alignment vertical="center"/>
    </xf>
    <xf numFmtId="0" fontId="71" fillId="0" borderId="0" xfId="0" applyFont="1">
      <alignment vertical="center"/>
    </xf>
    <xf numFmtId="0" fontId="5" fillId="0" borderId="0" xfId="0" applyFont="1" applyAlignment="1">
      <alignment horizontal="left"/>
    </xf>
    <xf numFmtId="0" fontId="5" fillId="0" borderId="0" xfId="0" applyFont="1">
      <alignment vertical="center"/>
    </xf>
    <xf numFmtId="0" fontId="22" fillId="0" borderId="1" xfId="0" applyFont="1" applyBorder="1" applyAlignment="1">
      <alignment horizontal="center" vertical="center"/>
    </xf>
    <xf numFmtId="0" fontId="72" fillId="0" borderId="0" xfId="0" applyFont="1">
      <alignment vertical="center"/>
    </xf>
    <xf numFmtId="0" fontId="14" fillId="0" borderId="1" xfId="0" applyFont="1" applyBorder="1" applyAlignment="1">
      <alignment horizontal="center" vertical="center"/>
    </xf>
    <xf numFmtId="0" fontId="69" fillId="0" borderId="0" xfId="0" applyFont="1" applyAlignment="1">
      <alignment wrapText="1"/>
    </xf>
    <xf numFmtId="0" fontId="73" fillId="0" borderId="0" xfId="0" applyFont="1" applyAlignment="1"/>
    <xf numFmtId="0" fontId="19" fillId="0" borderId="0" xfId="2" applyFont="1"/>
    <xf numFmtId="0" fontId="74" fillId="0" borderId="0" xfId="2"/>
    <xf numFmtId="0" fontId="80" fillId="0" borderId="63" xfId="2" applyFont="1" applyBorder="1" applyAlignment="1" applyProtection="1">
      <alignment vertical="center" wrapText="1"/>
      <protection locked="0"/>
    </xf>
    <xf numFmtId="0" fontId="80" fillId="0" borderId="65" xfId="2" applyFont="1" applyBorder="1" applyAlignment="1" applyProtection="1">
      <alignment vertical="center" wrapText="1"/>
      <protection locked="0"/>
    </xf>
    <xf numFmtId="0" fontId="80" fillId="0" borderId="65" xfId="2" applyFont="1" applyBorder="1" applyAlignment="1" applyProtection="1">
      <alignment vertical="center"/>
      <protection locked="0"/>
    </xf>
    <xf numFmtId="0" fontId="5" fillId="0" borderId="0" xfId="0" applyFont="1" applyAlignment="1">
      <alignment shrinkToFit="1"/>
    </xf>
    <xf numFmtId="0" fontId="5" fillId="0" borderId="6" xfId="0" applyFont="1" applyBorder="1" applyAlignment="1">
      <alignment horizontal="center" vertical="top"/>
    </xf>
    <xf numFmtId="0" fontId="5" fillId="0" borderId="5" xfId="0" applyFont="1" applyBorder="1" applyAlignment="1">
      <alignment horizontal="center" vertical="top"/>
    </xf>
    <xf numFmtId="0" fontId="5" fillId="0" borderId="6" xfId="0" applyFont="1" applyBorder="1" applyAlignment="1">
      <alignment horizontal="center" vertical="top" wrapText="1"/>
    </xf>
    <xf numFmtId="0" fontId="72" fillId="0" borderId="0" xfId="0" applyFont="1" applyAlignment="1">
      <alignment vertical="top"/>
    </xf>
    <xf numFmtId="0" fontId="8" fillId="0" borderId="0" xfId="0" applyFont="1" applyAlignment="1">
      <alignment vertical="top"/>
    </xf>
    <xf numFmtId="0" fontId="5" fillId="0" borderId="0" xfId="0" applyFont="1" applyAlignment="1">
      <alignment horizontal="center" vertical="top"/>
    </xf>
    <xf numFmtId="0" fontId="86" fillId="2" borderId="1" xfId="0" applyFont="1" applyFill="1" applyBorder="1" applyAlignment="1">
      <alignment horizontal="right" vertical="center" shrinkToFit="1"/>
    </xf>
    <xf numFmtId="0" fontId="88" fillId="0" borderId="0" xfId="3" applyFont="1" applyAlignment="1">
      <alignment vertical="center" wrapText="1" shrinkToFit="1"/>
    </xf>
    <xf numFmtId="0" fontId="90" fillId="0" borderId="12" xfId="4" applyFont="1" applyBorder="1">
      <alignment vertical="center"/>
    </xf>
    <xf numFmtId="0" fontId="90" fillId="0" borderId="0" xfId="4" applyFont="1">
      <alignment vertical="center"/>
    </xf>
    <xf numFmtId="0" fontId="91" fillId="0" borderId="0" xfId="4" applyFont="1">
      <alignment vertical="center"/>
    </xf>
    <xf numFmtId="0" fontId="92" fillId="0" borderId="0" xfId="4" applyFont="1">
      <alignment vertical="center"/>
    </xf>
    <xf numFmtId="0" fontId="88" fillId="0" borderId="0" xfId="3" applyFont="1" applyAlignment="1">
      <alignment horizontal="center" vertical="center" wrapText="1" shrinkToFit="1"/>
    </xf>
    <xf numFmtId="0" fontId="89" fillId="0" borderId="0" xfId="3" applyFont="1" applyAlignment="1">
      <alignment horizontal="left" vertical="top" shrinkToFit="1"/>
    </xf>
    <xf numFmtId="0" fontId="89" fillId="0" borderId="0" xfId="3" applyFont="1" applyAlignment="1">
      <alignment horizontal="center" vertical="top" shrinkToFit="1"/>
    </xf>
    <xf numFmtId="0" fontId="89" fillId="0" borderId="0" xfId="3" applyFont="1" applyAlignment="1">
      <alignment horizontal="center" vertical="top"/>
    </xf>
    <xf numFmtId="0" fontId="88" fillId="0" borderId="2" xfId="3" applyFont="1" applyBorder="1" applyAlignment="1">
      <alignment horizontal="center" vertical="center" wrapText="1" shrinkToFit="1"/>
    </xf>
    <xf numFmtId="0" fontId="89" fillId="0" borderId="2" xfId="3" applyFont="1" applyBorder="1" applyAlignment="1">
      <alignment horizontal="left" vertical="top" shrinkToFit="1"/>
    </xf>
    <xf numFmtId="0" fontId="89" fillId="0" borderId="0" xfId="3" applyFont="1" applyAlignment="1">
      <alignment horizontal="left" vertical="top"/>
    </xf>
    <xf numFmtId="0" fontId="95" fillId="0" borderId="12" xfId="4" applyFont="1" applyBorder="1">
      <alignment vertical="center"/>
    </xf>
    <xf numFmtId="0" fontId="95" fillId="0" borderId="0" xfId="4" applyFont="1">
      <alignment vertical="center"/>
    </xf>
    <xf numFmtId="0" fontId="95" fillId="0" borderId="11" xfId="4" applyFont="1" applyBorder="1">
      <alignment vertical="center"/>
    </xf>
    <xf numFmtId="0" fontId="19" fillId="0" borderId="0" xfId="4">
      <alignment vertical="center"/>
    </xf>
    <xf numFmtId="0" fontId="4" fillId="3" borderId="1" xfId="0" applyFont="1" applyFill="1" applyBorder="1" applyAlignment="1" applyProtection="1">
      <alignment horizontal="center" vertical="center" shrinkToFit="1"/>
      <protection locked="0"/>
    </xf>
    <xf numFmtId="0" fontId="4" fillId="0" borderId="1" xfId="0" applyFont="1" applyBorder="1" applyAlignment="1" applyProtection="1">
      <alignment horizontal="center" vertical="center" shrinkToFit="1"/>
      <protection locked="0"/>
    </xf>
    <xf numFmtId="0" fontId="4" fillId="0" borderId="1" xfId="0" applyFont="1" applyBorder="1" applyAlignment="1" applyProtection="1">
      <alignment vertical="center" shrinkToFit="1"/>
      <protection locked="0"/>
    </xf>
    <xf numFmtId="0" fontId="5" fillId="0" borderId="3" xfId="0" applyFont="1" applyBorder="1" applyAlignment="1" applyProtection="1">
      <alignment horizontal="center" vertical="center" shrinkToFit="1"/>
      <protection locked="0"/>
    </xf>
    <xf numFmtId="0" fontId="4" fillId="0" borderId="5" xfId="0" applyFont="1" applyBorder="1" applyAlignment="1" applyProtection="1">
      <alignment horizontal="center" vertical="center"/>
      <protection locked="0"/>
    </xf>
    <xf numFmtId="176" fontId="4" fillId="0" borderId="1" xfId="0" applyNumberFormat="1" applyFont="1" applyBorder="1" applyAlignment="1" applyProtection="1">
      <alignment horizontal="center" vertical="center" shrinkToFit="1"/>
      <protection locked="0"/>
    </xf>
    <xf numFmtId="0" fontId="4" fillId="0" borderId="0" xfId="0" applyFont="1" applyProtection="1">
      <alignment vertical="center"/>
      <protection locked="0"/>
    </xf>
    <xf numFmtId="0" fontId="4" fillId="0" borderId="3" xfId="0" applyFont="1" applyBorder="1" applyAlignment="1" applyProtection="1">
      <alignment horizontal="center" vertical="center"/>
      <protection locked="0"/>
    </xf>
    <xf numFmtId="176" fontId="4" fillId="0" borderId="47" xfId="0" applyNumberFormat="1" applyFont="1" applyBorder="1" applyAlignment="1" applyProtection="1">
      <alignment horizontal="center" vertical="center" shrinkToFit="1"/>
      <protection locked="0"/>
    </xf>
    <xf numFmtId="0" fontId="4" fillId="0" borderId="14" xfId="0" applyFont="1" applyBorder="1" applyAlignment="1" applyProtection="1">
      <alignment horizontal="center" vertical="center" shrinkToFit="1"/>
      <protection locked="0"/>
    </xf>
    <xf numFmtId="0" fontId="4" fillId="0" borderId="3" xfId="0" applyFont="1" applyBorder="1" applyAlignment="1" applyProtection="1">
      <alignment horizontal="center" vertical="center" shrinkToFit="1"/>
      <protection locked="0"/>
    </xf>
    <xf numFmtId="0" fontId="23" fillId="0" borderId="4" xfId="0" applyFont="1" applyBorder="1" applyAlignment="1" applyProtection="1">
      <alignment horizontal="right" vertical="center"/>
      <protection locked="0"/>
    </xf>
    <xf numFmtId="0" fontId="23" fillId="0" borderId="4" xfId="0" applyFont="1" applyBorder="1" applyAlignment="1" applyProtection="1">
      <alignment horizontal="right" vertical="center" shrinkToFit="1"/>
      <protection locked="0"/>
    </xf>
    <xf numFmtId="0" fontId="4" fillId="0" borderId="1" xfId="0" applyFont="1" applyBorder="1" applyAlignment="1" applyProtection="1">
      <alignment horizontal="center" vertical="center"/>
      <protection locked="0"/>
    </xf>
    <xf numFmtId="49" fontId="4" fillId="0" borderId="4" xfId="0" applyNumberFormat="1" applyFont="1" applyBorder="1" applyAlignment="1" applyProtection="1">
      <alignment horizontal="center" vertical="center"/>
      <protection locked="0"/>
    </xf>
    <xf numFmtId="0" fontId="4" fillId="0" borderId="9" xfId="0" applyFont="1" applyBorder="1" applyAlignment="1" applyProtection="1">
      <alignment horizontal="center" vertical="center"/>
      <protection locked="0"/>
    </xf>
    <xf numFmtId="0" fontId="0" fillId="11" borderId="0" xfId="0" applyFill="1" applyProtection="1">
      <alignment vertical="center"/>
      <protection locked="0"/>
    </xf>
    <xf numFmtId="0" fontId="13" fillId="0" borderId="12" xfId="0" applyFont="1" applyBorder="1" applyProtection="1">
      <alignment vertical="center"/>
      <protection locked="0"/>
    </xf>
    <xf numFmtId="0" fontId="13" fillId="0" borderId="13" xfId="0" applyFont="1" applyBorder="1" applyProtection="1">
      <alignment vertical="center"/>
      <protection locked="0"/>
    </xf>
    <xf numFmtId="0" fontId="97" fillId="0" borderId="0" xfId="0" applyFont="1" applyAlignment="1">
      <alignment horizontal="right" vertical="center"/>
    </xf>
    <xf numFmtId="0" fontId="66" fillId="0" borderId="0" xfId="0" applyFont="1" applyAlignment="1">
      <alignment horizontal="right" vertical="center"/>
    </xf>
    <xf numFmtId="0" fontId="97" fillId="0" borderId="0" xfId="0" applyFont="1" applyAlignment="1">
      <alignment horizontal="right"/>
    </xf>
    <xf numFmtId="0" fontId="98" fillId="0" borderId="0" xfId="0" applyFont="1" applyAlignment="1">
      <alignment horizontal="right"/>
    </xf>
    <xf numFmtId="0" fontId="69" fillId="12" borderId="0" xfId="0" applyFont="1" applyFill="1" applyAlignment="1"/>
    <xf numFmtId="0" fontId="16" fillId="0" borderId="0" xfId="0" applyFont="1" applyProtection="1">
      <alignment vertical="center"/>
      <protection locked="0"/>
    </xf>
    <xf numFmtId="0" fontId="4" fillId="0" borderId="8" xfId="0" applyFont="1" applyBorder="1" applyAlignment="1" applyProtection="1">
      <alignment horizontal="center" vertical="center"/>
      <protection locked="0"/>
    </xf>
    <xf numFmtId="0" fontId="4" fillId="0" borderId="0" xfId="0" applyFont="1" applyAlignment="1">
      <alignment horizontal="center" vertical="center" shrinkToFit="1"/>
    </xf>
    <xf numFmtId="0" fontId="4" fillId="0" borderId="1" xfId="0" applyFont="1" applyBorder="1" applyAlignment="1">
      <alignment horizontal="center" vertical="center"/>
    </xf>
    <xf numFmtId="0" fontId="4" fillId="0" borderId="1" xfId="0" applyFont="1" applyBorder="1" applyAlignment="1">
      <alignment horizontal="center" vertical="center" shrinkToFit="1"/>
    </xf>
    <xf numFmtId="0" fontId="4" fillId="0" borderId="6" xfId="0" applyFont="1" applyBorder="1" applyAlignment="1">
      <alignment horizontal="center" vertical="center"/>
    </xf>
    <xf numFmtId="0" fontId="4" fillId="0" borderId="6" xfId="0" applyFont="1" applyBorder="1" applyAlignment="1">
      <alignment horizontal="center" vertical="center" shrinkToFit="1"/>
    </xf>
    <xf numFmtId="0" fontId="4" fillId="0" borderId="2" xfId="0" applyFont="1" applyBorder="1" applyAlignment="1">
      <alignment horizontal="center" vertical="center"/>
    </xf>
    <xf numFmtId="0" fontId="4" fillId="0" borderId="2" xfId="0" applyFont="1" applyBorder="1" applyAlignment="1">
      <alignment horizontal="center" vertical="center" shrinkToFit="1"/>
    </xf>
    <xf numFmtId="0" fontId="5" fillId="0" borderId="0" xfId="0" applyFont="1" applyAlignment="1">
      <alignment horizontal="left" vertical="center"/>
    </xf>
    <xf numFmtId="0" fontId="8" fillId="0" borderId="16" xfId="0" applyFont="1" applyBorder="1" applyAlignment="1">
      <alignment horizontal="center" vertical="center" shrinkToFit="1"/>
    </xf>
    <xf numFmtId="0" fontId="39" fillId="0" borderId="6" xfId="0" applyFont="1" applyBorder="1" applyAlignment="1">
      <alignment horizontal="left" vertical="center" shrinkToFit="1"/>
    </xf>
    <xf numFmtId="0" fontId="13" fillId="0" borderId="0" xfId="0" applyFont="1" applyAlignment="1" applyProtection="1">
      <alignment horizontal="center" vertical="center"/>
      <protection locked="0"/>
    </xf>
    <xf numFmtId="0" fontId="63" fillId="0" borderId="1" xfId="0" applyFont="1" applyBorder="1" applyAlignment="1" applyProtection="1">
      <alignment horizontal="justify" vertical="center" wrapText="1"/>
      <protection locked="0"/>
    </xf>
    <xf numFmtId="0" fontId="16" fillId="0" borderId="1" xfId="0" applyFont="1" applyBorder="1" applyAlignment="1" applyProtection="1">
      <alignment horizontal="justify" vertical="center" wrapText="1"/>
      <protection locked="0"/>
    </xf>
    <xf numFmtId="0" fontId="23" fillId="0" borderId="3" xfId="0" applyFont="1" applyBorder="1" applyAlignment="1" applyProtection="1">
      <alignment horizontal="center" vertical="center"/>
      <protection locked="0"/>
    </xf>
    <xf numFmtId="0" fontId="16" fillId="0" borderId="12" xfId="0" applyFont="1" applyBorder="1" applyAlignment="1">
      <alignment horizontal="center" vertical="center"/>
    </xf>
    <xf numFmtId="0" fontId="16" fillId="0" borderId="11" xfId="0" applyFont="1" applyBorder="1">
      <alignment vertical="center"/>
    </xf>
    <xf numFmtId="0" fontId="63" fillId="0" borderId="0" xfId="0" applyFont="1">
      <alignment vertical="center"/>
    </xf>
    <xf numFmtId="0" fontId="16" fillId="0" borderId="0" xfId="0" applyFont="1">
      <alignment vertical="center"/>
    </xf>
    <xf numFmtId="0" fontId="4" fillId="0" borderId="1" xfId="0" applyFont="1" applyBorder="1" applyAlignment="1" applyProtection="1">
      <alignment horizontal="left" vertical="center"/>
      <protection locked="0"/>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0" fillId="0" borderId="3" xfId="0" applyBorder="1" applyAlignment="1">
      <alignment horizontal="center" vertical="center"/>
    </xf>
    <xf numFmtId="0" fontId="101" fillId="0" borderId="28" xfId="0" applyFont="1" applyBorder="1" applyAlignment="1">
      <alignment vertical="center" shrinkToFit="1"/>
    </xf>
    <xf numFmtId="0" fontId="80" fillId="0" borderId="68" xfId="2" applyFont="1" applyBorder="1" applyAlignment="1" applyProtection="1">
      <alignment horizontal="left" vertical="center"/>
      <protection locked="0"/>
    </xf>
    <xf numFmtId="0" fontId="77" fillId="12" borderId="58" xfId="2" applyFont="1" applyFill="1" applyBorder="1" applyAlignment="1">
      <alignment horizontal="distributed" vertical="center"/>
    </xf>
    <xf numFmtId="0" fontId="77" fillId="12" borderId="48" xfId="2" applyFont="1" applyFill="1" applyBorder="1" applyAlignment="1">
      <alignment horizontal="distributed" vertical="center" wrapText="1"/>
    </xf>
    <xf numFmtId="0" fontId="77" fillId="12" borderId="53" xfId="2" applyFont="1" applyFill="1" applyBorder="1" applyAlignment="1">
      <alignment horizontal="center" vertical="center" wrapText="1"/>
    </xf>
    <xf numFmtId="0" fontId="4" fillId="0" borderId="1" xfId="0" applyFont="1" applyBorder="1" applyProtection="1">
      <alignment vertical="center"/>
      <protection locked="0"/>
    </xf>
    <xf numFmtId="0" fontId="103" fillId="0" borderId="1" xfId="2" applyFont="1" applyBorder="1" applyAlignment="1">
      <alignment horizontal="center" vertical="center" shrinkToFit="1"/>
    </xf>
    <xf numFmtId="0" fontId="80" fillId="0" borderId="63" xfId="2" applyFont="1" applyBorder="1" applyAlignment="1" applyProtection="1">
      <alignment vertical="center"/>
      <protection locked="0"/>
    </xf>
    <xf numFmtId="0" fontId="80" fillId="0" borderId="68" xfId="2" applyFont="1" applyBorder="1" applyAlignment="1" applyProtection="1">
      <alignment vertical="center"/>
      <protection locked="0"/>
    </xf>
    <xf numFmtId="0" fontId="77" fillId="12" borderId="53" xfId="2" applyFont="1" applyFill="1" applyBorder="1" applyAlignment="1">
      <alignment horizontal="distributed" vertical="center"/>
    </xf>
    <xf numFmtId="0" fontId="80" fillId="0" borderId="3" xfId="2" applyFont="1" applyBorder="1" applyAlignment="1" applyProtection="1">
      <alignment vertical="center"/>
      <protection locked="0"/>
    </xf>
    <xf numFmtId="56" fontId="4" fillId="0" borderId="1" xfId="0" applyNumberFormat="1" applyFont="1" applyBorder="1" applyAlignment="1" applyProtection="1">
      <alignment horizontal="center" vertical="center" shrinkToFit="1"/>
      <protection locked="0"/>
    </xf>
    <xf numFmtId="0" fontId="4" fillId="13" borderId="1" xfId="0" applyFont="1" applyFill="1" applyBorder="1" applyAlignment="1" applyProtection="1">
      <alignment horizontal="center" vertical="center" shrinkToFit="1"/>
      <protection locked="0"/>
    </xf>
    <xf numFmtId="0" fontId="104" fillId="0" borderId="0" xfId="0" applyFont="1">
      <alignment vertical="center"/>
    </xf>
    <xf numFmtId="0" fontId="99" fillId="0" borderId="0" xfId="0" applyFont="1" applyAlignment="1">
      <alignment horizontal="left" vertical="top" wrapText="1"/>
    </xf>
    <xf numFmtId="0" fontId="99" fillId="0" borderId="0" xfId="0" applyFont="1" applyAlignment="1">
      <alignment horizontal="right" vertical="center" wrapText="1"/>
    </xf>
    <xf numFmtId="0" fontId="99" fillId="0" borderId="0" xfId="0" applyFont="1" applyAlignment="1">
      <alignment vertical="center" wrapText="1"/>
    </xf>
    <xf numFmtId="0" fontId="6" fillId="14" borderId="1" xfId="0" applyFont="1" applyFill="1" applyBorder="1" applyAlignment="1">
      <alignment horizontal="center" vertical="center"/>
    </xf>
    <xf numFmtId="0" fontId="4" fillId="0" borderId="0" xfId="0" applyFont="1" applyAlignment="1">
      <alignment horizontal="right" vertical="center" shrinkToFit="1"/>
    </xf>
    <xf numFmtId="0" fontId="106" fillId="2" borderId="1" xfId="0" applyFont="1" applyFill="1" applyBorder="1" applyAlignment="1">
      <alignment horizontal="center" vertical="center"/>
    </xf>
    <xf numFmtId="0" fontId="106" fillId="4" borderId="1" xfId="0" applyFont="1" applyFill="1" applyBorder="1" applyAlignment="1">
      <alignment horizontal="center" vertical="center"/>
    </xf>
    <xf numFmtId="0" fontId="67" fillId="5" borderId="1" xfId="0" applyFont="1" applyFill="1" applyBorder="1" applyAlignment="1">
      <alignment horizontal="center" vertical="center"/>
    </xf>
    <xf numFmtId="0" fontId="107" fillId="2" borderId="1" xfId="0" applyFont="1" applyFill="1" applyBorder="1" applyAlignment="1">
      <alignment horizontal="center" vertical="center"/>
    </xf>
    <xf numFmtId="0" fontId="108" fillId="0" borderId="1" xfId="0" applyFont="1" applyBorder="1">
      <alignment vertical="center"/>
    </xf>
    <xf numFmtId="0" fontId="109" fillId="0" borderId="1" xfId="0" applyFont="1" applyBorder="1">
      <alignment vertical="center"/>
    </xf>
    <xf numFmtId="0" fontId="0" fillId="0" borderId="1" xfId="0" applyBorder="1">
      <alignment vertical="center"/>
    </xf>
    <xf numFmtId="0" fontId="4" fillId="15" borderId="1" xfId="0" applyFont="1" applyFill="1" applyBorder="1" applyAlignment="1" applyProtection="1">
      <alignment horizontal="left" vertical="center"/>
      <protection locked="0"/>
    </xf>
    <xf numFmtId="0" fontId="110" fillId="0" borderId="0" xfId="0" applyFont="1" applyAlignment="1">
      <alignment vertical="center" wrapText="1"/>
    </xf>
    <xf numFmtId="0" fontId="16" fillId="0" borderId="12" xfId="0" applyFont="1" applyBorder="1" applyProtection="1">
      <alignment vertical="center"/>
      <protection locked="0"/>
    </xf>
    <xf numFmtId="0" fontId="16" fillId="0" borderId="0" xfId="0" applyFont="1" applyAlignment="1" applyProtection="1">
      <alignment horizontal="center" vertical="center"/>
      <protection locked="0"/>
    </xf>
    <xf numFmtId="0" fontId="16" fillId="0" borderId="13" xfId="0" applyFont="1" applyBorder="1" applyProtection="1">
      <alignment vertical="center"/>
      <protection locked="0"/>
    </xf>
    <xf numFmtId="0" fontId="4" fillId="0" borderId="1" xfId="0" applyFont="1" applyBorder="1">
      <alignment vertical="center"/>
    </xf>
    <xf numFmtId="0" fontId="8" fillId="0" borderId="1" xfId="0" applyFont="1" applyBorder="1">
      <alignment vertical="center"/>
    </xf>
    <xf numFmtId="0" fontId="111" fillId="0" borderId="0" xfId="0" applyFont="1" applyAlignment="1"/>
    <xf numFmtId="0" fontId="78" fillId="0" borderId="1" xfId="0" applyFont="1" applyBorder="1" applyAlignment="1">
      <alignment vertical="center" wrapText="1"/>
    </xf>
    <xf numFmtId="180" fontId="0" fillId="0" borderId="0" xfId="0" applyNumberFormat="1">
      <alignment vertical="center"/>
    </xf>
    <xf numFmtId="0" fontId="72" fillId="0" borderId="0" xfId="0" applyFont="1">
      <alignment vertical="center"/>
    </xf>
    <xf numFmtId="0" fontId="4" fillId="0" borderId="4" xfId="0" applyFont="1" applyBorder="1" applyAlignment="1" applyProtection="1">
      <alignment horizontal="left" vertical="center"/>
      <protection locked="0"/>
    </xf>
    <xf numFmtId="0" fontId="4" fillId="0" borderId="3" xfId="0" applyFont="1" applyBorder="1" applyAlignment="1" applyProtection="1">
      <alignment horizontal="left" vertical="center"/>
      <protection locked="0"/>
    </xf>
    <xf numFmtId="0" fontId="5" fillId="0" borderId="2" xfId="0" applyFont="1" applyBorder="1" applyAlignment="1">
      <alignment horizontal="left"/>
    </xf>
    <xf numFmtId="0" fontId="72" fillId="0" borderId="0" xfId="0" applyFont="1" applyAlignment="1">
      <alignment vertical="top"/>
    </xf>
    <xf numFmtId="0" fontId="80" fillId="0" borderId="4" xfId="2" applyFont="1" applyBorder="1" applyAlignment="1" applyProtection="1">
      <alignment horizontal="left" vertical="center" wrapText="1"/>
      <protection locked="0"/>
    </xf>
    <xf numFmtId="0" fontId="80" fillId="0" borderId="15" xfId="2" applyFont="1" applyBorder="1" applyAlignment="1" applyProtection="1">
      <alignment horizontal="left" vertical="center" wrapText="1"/>
      <protection locked="0"/>
    </xf>
    <xf numFmtId="0" fontId="80" fillId="0" borderId="66" xfId="2" applyFont="1" applyBorder="1" applyAlignment="1" applyProtection="1">
      <alignment horizontal="left" vertical="center" wrapText="1"/>
      <protection locked="0"/>
    </xf>
    <xf numFmtId="0" fontId="80" fillId="0" borderId="9" xfId="2" applyFont="1" applyBorder="1" applyAlignment="1" applyProtection="1">
      <alignment horizontal="left" vertical="center" wrapText="1"/>
      <protection locked="0"/>
    </xf>
    <xf numFmtId="0" fontId="80" fillId="0" borderId="73" xfId="2" applyFont="1" applyBorder="1" applyAlignment="1" applyProtection="1">
      <alignment horizontal="left" vertical="center" wrapText="1"/>
      <protection locked="0"/>
    </xf>
    <xf numFmtId="0" fontId="102" fillId="0" borderId="74" xfId="2" applyFont="1" applyBorder="1" applyAlignment="1" applyProtection="1">
      <alignment horizontal="left" vertical="center"/>
      <protection locked="0"/>
    </xf>
    <xf numFmtId="0" fontId="62" fillId="0" borderId="75" xfId="2" applyFont="1" applyBorder="1" applyAlignment="1" applyProtection="1">
      <alignment horizontal="left" vertical="center"/>
      <protection locked="0"/>
    </xf>
    <xf numFmtId="0" fontId="62" fillId="0" borderId="76" xfId="2" applyFont="1" applyBorder="1" applyAlignment="1" applyProtection="1">
      <alignment horizontal="left" vertical="center"/>
      <protection locked="0"/>
    </xf>
    <xf numFmtId="0" fontId="75" fillId="0" borderId="48" xfId="2" applyFont="1" applyBorder="1" applyAlignment="1">
      <alignment horizontal="center" vertical="center" shrinkToFit="1"/>
    </xf>
    <xf numFmtId="0" fontId="75" fillId="0" borderId="49" xfId="2" applyFont="1" applyBorder="1" applyAlignment="1">
      <alignment horizontal="center" vertical="center" shrinkToFit="1"/>
    </xf>
    <xf numFmtId="0" fontId="75" fillId="0" borderId="53" xfId="2" applyFont="1" applyBorder="1" applyAlignment="1">
      <alignment horizontal="center" vertical="center" shrinkToFit="1"/>
    </xf>
    <xf numFmtId="0" fontId="75" fillId="0" borderId="54" xfId="2" applyFont="1" applyBorder="1" applyAlignment="1">
      <alignment horizontal="center" vertical="center" shrinkToFit="1"/>
    </xf>
    <xf numFmtId="0" fontId="76" fillId="0" borderId="48" xfId="2" applyFont="1" applyBorder="1" applyAlignment="1">
      <alignment horizontal="center" vertical="center" shrinkToFit="1"/>
    </xf>
    <xf numFmtId="0" fontId="76" fillId="0" borderId="50" xfId="2" applyFont="1" applyBorder="1" applyAlignment="1">
      <alignment horizontal="center" vertical="center" shrinkToFit="1"/>
    </xf>
    <xf numFmtId="0" fontId="76" fillId="0" borderId="53" xfId="2" applyFont="1" applyBorder="1" applyAlignment="1">
      <alignment horizontal="center" vertical="center" shrinkToFit="1"/>
    </xf>
    <xf numFmtId="0" fontId="76" fillId="0" borderId="55" xfId="2" applyFont="1" applyBorder="1" applyAlignment="1">
      <alignment horizontal="center" vertical="center" shrinkToFit="1"/>
    </xf>
    <xf numFmtId="0" fontId="76" fillId="0" borderId="51" xfId="2" applyFont="1" applyBorder="1" applyAlignment="1">
      <alignment horizontal="center" vertical="center" shrinkToFit="1"/>
    </xf>
    <xf numFmtId="0" fontId="76" fillId="0" borderId="52" xfId="2" applyFont="1" applyBorder="1" applyAlignment="1">
      <alignment horizontal="center" vertical="center" shrinkToFit="1"/>
    </xf>
    <xf numFmtId="0" fontId="76" fillId="0" borderId="56" xfId="2" applyFont="1" applyBorder="1" applyAlignment="1">
      <alignment horizontal="center" vertical="center" shrinkToFit="1"/>
    </xf>
    <xf numFmtId="0" fontId="76" fillId="0" borderId="57" xfId="2" applyFont="1" applyBorder="1" applyAlignment="1">
      <alignment horizontal="center" vertical="center" shrinkToFit="1"/>
    </xf>
    <xf numFmtId="0" fontId="77" fillId="12" borderId="49" xfId="2" applyFont="1" applyFill="1" applyBorder="1" applyAlignment="1">
      <alignment horizontal="left" vertical="center" shrinkToFit="1"/>
    </xf>
    <xf numFmtId="0" fontId="77" fillId="12" borderId="59" xfId="2" applyFont="1" applyFill="1" applyBorder="1" applyAlignment="1">
      <alignment horizontal="left" vertical="center" shrinkToFit="1"/>
    </xf>
    <xf numFmtId="0" fontId="77" fillId="0" borderId="0" xfId="2" applyFont="1" applyAlignment="1">
      <alignment horizontal="left" vertical="center" shrinkToFit="1"/>
    </xf>
    <xf numFmtId="0" fontId="77" fillId="0" borderId="60" xfId="2" applyFont="1" applyBorder="1" applyAlignment="1">
      <alignment horizontal="left" vertical="center" shrinkToFit="1"/>
    </xf>
    <xf numFmtId="0" fontId="77" fillId="0" borderId="54" xfId="2" applyFont="1" applyBorder="1" applyAlignment="1">
      <alignment horizontal="left" vertical="center" shrinkToFit="1"/>
    </xf>
    <xf numFmtId="0" fontId="77" fillId="0" borderId="61" xfId="2" applyFont="1" applyBorder="1" applyAlignment="1">
      <alignment horizontal="left" vertical="center" shrinkToFit="1"/>
    </xf>
    <xf numFmtId="0" fontId="77" fillId="0" borderId="49" xfId="2" applyFont="1" applyBorder="1" applyAlignment="1">
      <alignment horizontal="left" vertical="center" shrinkToFit="1"/>
    </xf>
    <xf numFmtId="0" fontId="77" fillId="0" borderId="59" xfId="2" applyFont="1" applyBorder="1" applyAlignment="1">
      <alignment horizontal="left" vertical="center" shrinkToFit="1"/>
    </xf>
    <xf numFmtId="176" fontId="77" fillId="0" borderId="0" xfId="2" applyNumberFormat="1" applyFont="1" applyAlignment="1">
      <alignment horizontal="left" vertical="center" shrinkToFit="1"/>
    </xf>
    <xf numFmtId="176" fontId="77" fillId="0" borderId="60" xfId="2" applyNumberFormat="1" applyFont="1" applyBorder="1" applyAlignment="1">
      <alignment horizontal="left" vertical="center" shrinkToFit="1"/>
    </xf>
    <xf numFmtId="0" fontId="77" fillId="12" borderId="54" xfId="2" applyFont="1" applyFill="1" applyBorder="1" applyAlignment="1">
      <alignment horizontal="left" vertical="center" shrinkToFit="1"/>
    </xf>
    <xf numFmtId="0" fontId="77" fillId="12" borderId="61" xfId="2" applyFont="1" applyFill="1" applyBorder="1" applyAlignment="1">
      <alignment horizontal="left" vertical="center" shrinkToFit="1"/>
    </xf>
    <xf numFmtId="0" fontId="103" fillId="0" borderId="4" xfId="2" applyFont="1" applyBorder="1" applyAlignment="1">
      <alignment horizontal="center" vertical="center" shrinkToFit="1"/>
    </xf>
    <xf numFmtId="0" fontId="103" fillId="0" borderId="15" xfId="2" applyFont="1" applyBorder="1" applyAlignment="1">
      <alignment horizontal="center" vertical="center" shrinkToFit="1"/>
    </xf>
    <xf numFmtId="0" fontId="103" fillId="0" borderId="3" xfId="2" applyFont="1" applyBorder="1" applyAlignment="1">
      <alignment horizontal="center" vertical="center" shrinkToFit="1"/>
    </xf>
    <xf numFmtId="0" fontId="79" fillId="0" borderId="48" xfId="2" applyFont="1" applyBorder="1" applyAlignment="1" applyProtection="1">
      <alignment horizontal="center" vertical="center"/>
      <protection locked="0"/>
    </xf>
    <xf numFmtId="0" fontId="79" fillId="0" borderId="49" xfId="2" applyFont="1" applyBorder="1" applyAlignment="1" applyProtection="1">
      <alignment horizontal="center" vertical="center"/>
      <protection locked="0"/>
    </xf>
    <xf numFmtId="0" fontId="79" fillId="0" borderId="59" xfId="2" applyFont="1" applyBorder="1" applyAlignment="1" applyProtection="1">
      <alignment horizontal="center" vertical="center"/>
      <protection locked="0"/>
    </xf>
    <xf numFmtId="0" fontId="79" fillId="0" borderId="62" xfId="2" applyFont="1" applyBorder="1" applyAlignment="1" applyProtection="1">
      <alignment horizontal="center" vertical="center"/>
      <protection locked="0"/>
    </xf>
    <xf numFmtId="0" fontId="79" fillId="0" borderId="51" xfId="2" applyFont="1" applyBorder="1" applyAlignment="1" applyProtection="1">
      <alignment horizontal="center" vertical="center"/>
      <protection locked="0"/>
    </xf>
    <xf numFmtId="0" fontId="79" fillId="0" borderId="52" xfId="2" applyFont="1" applyBorder="1" applyAlignment="1" applyProtection="1">
      <alignment horizontal="center" vertical="center"/>
      <protection locked="0"/>
    </xf>
    <xf numFmtId="0" fontId="79" fillId="0" borderId="63" xfId="2" applyFont="1" applyBorder="1" applyAlignment="1" applyProtection="1">
      <alignment horizontal="center" vertical="center"/>
      <protection locked="0"/>
    </xf>
    <xf numFmtId="0" fontId="79" fillId="0" borderId="1" xfId="2" applyFont="1" applyBorder="1" applyAlignment="1" applyProtection="1">
      <alignment horizontal="center" vertical="center"/>
      <protection locked="0"/>
    </xf>
    <xf numFmtId="0" fontId="79" fillId="0" borderId="64" xfId="2" applyFont="1" applyBorder="1" applyAlignment="1" applyProtection="1">
      <alignment horizontal="center" vertical="center"/>
      <protection locked="0"/>
    </xf>
    <xf numFmtId="0" fontId="80" fillId="0" borderId="1" xfId="2" applyFont="1" applyBorder="1" applyAlignment="1" applyProtection="1">
      <alignment horizontal="left" vertical="center" wrapText="1"/>
      <protection locked="0"/>
    </xf>
    <xf numFmtId="0" fontId="80" fillId="0" borderId="64" xfId="2" applyFont="1" applyBorder="1" applyAlignment="1" applyProtection="1">
      <alignment horizontal="left" vertical="center" wrapText="1"/>
      <protection locked="0"/>
    </xf>
    <xf numFmtId="0" fontId="79" fillId="0" borderId="78" xfId="2" applyFont="1" applyBorder="1" applyAlignment="1" applyProtection="1">
      <alignment horizontal="center" vertical="center"/>
      <protection locked="0"/>
    </xf>
    <xf numFmtId="0" fontId="79" fillId="0" borderId="79" xfId="2" applyFont="1" applyBorder="1" applyAlignment="1" applyProtection="1">
      <alignment horizontal="center" vertical="center"/>
      <protection locked="0"/>
    </xf>
    <xf numFmtId="0" fontId="79" fillId="0" borderId="80" xfId="2" applyFont="1" applyBorder="1" applyAlignment="1" applyProtection="1">
      <alignment horizontal="center" vertical="center"/>
      <protection locked="0"/>
    </xf>
    <xf numFmtId="0" fontId="79" fillId="0" borderId="67" xfId="2" applyFont="1" applyBorder="1" applyAlignment="1" applyProtection="1">
      <alignment horizontal="center" vertical="center"/>
      <protection locked="0"/>
    </xf>
    <xf numFmtId="0" fontId="79" fillId="0" borderId="15" xfId="2" applyFont="1" applyBorder="1" applyAlignment="1" applyProtection="1">
      <alignment horizontal="center" vertical="center"/>
      <protection locked="0"/>
    </xf>
    <xf numFmtId="0" fontId="79" fillId="0" borderId="66" xfId="2" applyFont="1" applyBorder="1" applyAlignment="1" applyProtection="1">
      <alignment horizontal="center" vertical="center"/>
      <protection locked="0"/>
    </xf>
    <xf numFmtId="0" fontId="80" fillId="0" borderId="10" xfId="2" applyFont="1" applyBorder="1" applyAlignment="1" applyProtection="1">
      <alignment horizontal="left" vertical="center" wrapText="1"/>
      <protection locked="0"/>
    </xf>
    <xf numFmtId="0" fontId="80" fillId="0" borderId="11" xfId="2" applyFont="1" applyBorder="1" applyAlignment="1" applyProtection="1">
      <alignment horizontal="left" vertical="center" wrapText="1"/>
      <protection locked="0"/>
    </xf>
    <xf numFmtId="0" fontId="80" fillId="0" borderId="77" xfId="2" applyFont="1" applyBorder="1" applyAlignment="1" applyProtection="1">
      <alignment horizontal="left" vertical="center" wrapText="1"/>
      <protection locked="0"/>
    </xf>
    <xf numFmtId="0" fontId="53" fillId="0" borderId="0" xfId="0" applyFont="1" applyAlignment="1">
      <alignment horizontal="left" vertical="center" shrinkToFit="1"/>
    </xf>
    <xf numFmtId="0" fontId="54" fillId="0" borderId="0" xfId="0" applyFont="1" applyAlignment="1">
      <alignment horizontal="left" vertical="center" shrinkToFit="1"/>
    </xf>
    <xf numFmtId="0" fontId="55" fillId="0" borderId="28" xfId="0" applyFont="1" applyBorder="1" applyAlignment="1">
      <alignment vertical="center" wrapText="1"/>
    </xf>
    <xf numFmtId="0" fontId="55" fillId="0" borderId="24" xfId="0" applyFont="1" applyBorder="1">
      <alignment vertical="center"/>
    </xf>
    <xf numFmtId="0" fontId="55" fillId="0" borderId="28" xfId="0" applyFont="1" applyBorder="1">
      <alignment vertical="center"/>
    </xf>
    <xf numFmtId="0" fontId="0" fillId="0" borderId="0" xfId="0" applyAlignment="1">
      <alignment vertical="center" shrinkToFit="1"/>
    </xf>
    <xf numFmtId="0" fontId="57" fillId="0" borderId="0" xfId="0" applyFont="1" applyAlignment="1">
      <alignment horizontal="center" vertical="center" shrinkToFit="1"/>
    </xf>
    <xf numFmtId="0" fontId="0" fillId="0" borderId="0" xfId="0" applyAlignment="1">
      <alignment horizontal="center" vertical="center" shrinkToFit="1"/>
    </xf>
    <xf numFmtId="0" fontId="54" fillId="0" borderId="0" xfId="0" applyFont="1" applyAlignment="1">
      <alignment horizontal="right" vertical="center" shrinkToFit="1"/>
    </xf>
    <xf numFmtId="0" fontId="58" fillId="0" borderId="34" xfId="0" applyFont="1" applyBorder="1" applyAlignment="1">
      <alignment vertical="center" wrapText="1"/>
    </xf>
    <xf numFmtId="0" fontId="58" fillId="0" borderId="35" xfId="0" applyFont="1" applyBorder="1">
      <alignment vertical="center"/>
    </xf>
    <xf numFmtId="0" fontId="58" fillId="0" borderId="36" xfId="0" applyFont="1" applyBorder="1">
      <alignment vertical="center"/>
    </xf>
    <xf numFmtId="0" fontId="58" fillId="0" borderId="37" xfId="0" applyFont="1" applyBorder="1">
      <alignment vertical="center"/>
    </xf>
    <xf numFmtId="0" fontId="58" fillId="0" borderId="0" xfId="0" applyFont="1">
      <alignment vertical="center"/>
    </xf>
    <xf numFmtId="0" fontId="58" fillId="0" borderId="38" xfId="0" applyFont="1" applyBorder="1">
      <alignment vertical="center"/>
    </xf>
    <xf numFmtId="0" fontId="58" fillId="0" borderId="39" xfId="0" applyFont="1" applyBorder="1">
      <alignment vertical="center"/>
    </xf>
    <xf numFmtId="0" fontId="58" fillId="0" borderId="40" xfId="0" applyFont="1" applyBorder="1">
      <alignment vertical="center"/>
    </xf>
    <xf numFmtId="0" fontId="58" fillId="0" borderId="41" xfId="0" applyFont="1" applyBorder="1">
      <alignment vertical="center"/>
    </xf>
    <xf numFmtId="0" fontId="14" fillId="0" borderId="0" xfId="0" applyFont="1" applyAlignment="1">
      <alignment horizontal="center"/>
    </xf>
    <xf numFmtId="0" fontId="14" fillId="0" borderId="2" xfId="0" applyFont="1" applyBorder="1" applyAlignment="1">
      <alignment horizontal="center"/>
    </xf>
    <xf numFmtId="0" fontId="10" fillId="0" borderId="0" xfId="0" applyFont="1" applyAlignment="1">
      <alignment horizontal="center" vertical="center"/>
    </xf>
    <xf numFmtId="0" fontId="10" fillId="0" borderId="0" xfId="0" applyFont="1" applyAlignment="1">
      <alignment horizontal="right" vertical="center"/>
    </xf>
    <xf numFmtId="0" fontId="16" fillId="0" borderId="12" xfId="0" applyFont="1" applyBorder="1" applyAlignment="1" applyProtection="1">
      <alignment horizontal="left" vertical="center" wrapText="1" shrinkToFit="1"/>
      <protection locked="0"/>
    </xf>
    <xf numFmtId="0" fontId="16" fillId="0" borderId="0" xfId="0" applyFont="1" applyAlignment="1" applyProtection="1">
      <alignment horizontal="left" vertical="center" wrapText="1" shrinkToFit="1"/>
      <protection locked="0"/>
    </xf>
    <xf numFmtId="0" fontId="16" fillId="0" borderId="13" xfId="0" applyFont="1" applyBorder="1" applyAlignment="1" applyProtection="1">
      <alignment horizontal="left" vertical="center" wrapText="1" shrinkToFit="1"/>
      <protection locked="0"/>
    </xf>
    <xf numFmtId="0" fontId="16" fillId="0" borderId="7" xfId="0" applyFont="1" applyBorder="1" applyAlignment="1" applyProtection="1">
      <alignment horizontal="left" vertical="center" wrapText="1" shrinkToFit="1"/>
      <protection locked="0"/>
    </xf>
    <xf numFmtId="0" fontId="16" fillId="0" borderId="2" xfId="0" applyFont="1" applyBorder="1" applyAlignment="1" applyProtection="1">
      <alignment horizontal="left" vertical="center" wrapText="1" shrinkToFit="1"/>
      <protection locked="0"/>
    </xf>
    <xf numFmtId="0" fontId="16" fillId="0" borderId="5" xfId="0" applyFont="1" applyBorder="1" applyAlignment="1" applyProtection="1">
      <alignment horizontal="left" vertical="center" wrapText="1" shrinkToFit="1"/>
      <protection locked="0"/>
    </xf>
    <xf numFmtId="176" fontId="10" fillId="0" borderId="0" xfId="0" applyNumberFormat="1" applyFont="1" applyAlignment="1">
      <alignment horizontal="right" vertical="center"/>
    </xf>
    <xf numFmtId="0" fontId="10" fillId="0" borderId="0" xfId="0" applyFont="1" applyAlignment="1">
      <alignment horizontal="center" vertical="center" shrinkToFit="1"/>
    </xf>
    <xf numFmtId="0" fontId="10" fillId="0" borderId="0" xfId="0" applyFont="1" applyAlignment="1">
      <alignment horizontal="right" vertical="center" shrinkToFit="1"/>
    </xf>
    <xf numFmtId="0" fontId="13" fillId="0" borderId="4" xfId="0" applyFont="1" applyBorder="1" applyAlignment="1">
      <alignment horizontal="center" vertical="center"/>
    </xf>
    <xf numFmtId="0" fontId="0" fillId="0" borderId="15" xfId="0" applyBorder="1" applyAlignment="1">
      <alignment horizontal="center" vertical="center"/>
    </xf>
    <xf numFmtId="0" fontId="0" fillId="0" borderId="3" xfId="0" applyBorder="1" applyAlignment="1">
      <alignment horizontal="center" vertical="center"/>
    </xf>
    <xf numFmtId="0" fontId="16" fillId="0" borderId="4" xfId="0" applyFont="1" applyBorder="1" applyAlignment="1">
      <alignment horizontal="center" vertical="center" wrapText="1" shrinkToFit="1"/>
    </xf>
    <xf numFmtId="0" fontId="16" fillId="0" borderId="3" xfId="0" applyFont="1" applyBorder="1" applyAlignment="1">
      <alignment horizontal="center" vertical="center" wrapText="1" shrinkToFit="1"/>
    </xf>
    <xf numFmtId="0" fontId="25" fillId="5" borderId="1" xfId="0" applyFont="1" applyFill="1" applyBorder="1" applyAlignment="1">
      <alignment horizontal="center" vertical="center" wrapText="1"/>
    </xf>
    <xf numFmtId="0" fontId="25" fillId="5" borderId="1" xfId="0" applyFont="1" applyFill="1" applyBorder="1" applyAlignment="1">
      <alignment horizontal="center" vertical="center"/>
    </xf>
    <xf numFmtId="0" fontId="25" fillId="5" borderId="4" xfId="0" applyFont="1" applyFill="1" applyBorder="1" applyAlignment="1">
      <alignment horizontal="center" vertical="center"/>
    </xf>
    <xf numFmtId="0" fontId="25" fillId="5" borderId="3" xfId="0" applyFont="1" applyFill="1" applyBorder="1" applyAlignment="1">
      <alignment horizontal="center" vertical="center"/>
    </xf>
    <xf numFmtId="0" fontId="22" fillId="0" borderId="0" xfId="0" applyFont="1" applyAlignment="1">
      <alignment horizontal="center" vertical="center"/>
    </xf>
    <xf numFmtId="0" fontId="96" fillId="0" borderId="0" xfId="0" applyFont="1" applyAlignment="1">
      <alignment horizontal="center" vertical="center"/>
    </xf>
    <xf numFmtId="0" fontId="81" fillId="0" borderId="0" xfId="0" applyFont="1" applyAlignment="1">
      <alignment horizontal="left" vertical="center"/>
    </xf>
    <xf numFmtId="0" fontId="18" fillId="0" borderId="0" xfId="0" applyFont="1" applyAlignment="1">
      <alignment horizontal="distributed" vertical="top" shrinkToFit="1"/>
    </xf>
    <xf numFmtId="0" fontId="20" fillId="0" borderId="0" xfId="0" applyFont="1" applyAlignment="1">
      <alignment horizontal="distributed" vertical="center" indent="16"/>
    </xf>
    <xf numFmtId="0" fontId="23" fillId="0" borderId="0" xfId="0" applyFont="1" applyAlignment="1">
      <alignment horizontal="right" vertical="center"/>
    </xf>
    <xf numFmtId="0" fontId="18" fillId="0" borderId="0" xfId="0" applyFont="1" applyAlignment="1">
      <alignment horizontal="distributed" vertical="center"/>
    </xf>
    <xf numFmtId="0" fontId="26" fillId="0" borderId="0" xfId="0" applyFont="1" applyAlignment="1">
      <alignment horizontal="left" vertical="center"/>
    </xf>
    <xf numFmtId="0" fontId="18" fillId="0" borderId="0" xfId="0" applyFont="1" applyAlignment="1">
      <alignment horizontal="distributed" vertical="center" shrinkToFit="1"/>
    </xf>
    <xf numFmtId="0" fontId="18" fillId="0" borderId="0" xfId="0" applyFont="1" applyAlignment="1">
      <alignment horizontal="left" vertical="center"/>
    </xf>
    <xf numFmtId="0" fontId="70" fillId="0" borderId="0" xfId="0" applyFont="1" applyAlignment="1">
      <alignment horizontal="left" vertical="center" shrinkToFit="1"/>
    </xf>
    <xf numFmtId="0" fontId="70"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xf>
    <xf numFmtId="0" fontId="112" fillId="0" borderId="0" xfId="0" applyFont="1" applyAlignment="1">
      <alignment horizontal="left" vertical="top" wrapText="1"/>
    </xf>
    <xf numFmtId="0" fontId="113" fillId="0" borderId="0" xfId="0" applyFont="1" applyAlignment="1">
      <alignment horizontal="left" vertical="top" wrapText="1"/>
    </xf>
    <xf numFmtId="0" fontId="15" fillId="0" borderId="11" xfId="0" applyFont="1" applyBorder="1" applyAlignment="1">
      <alignment horizontal="center" vertical="center"/>
    </xf>
    <xf numFmtId="0" fontId="18" fillId="0" borderId="0" xfId="0" applyFont="1" applyAlignment="1">
      <alignment horizontal="left" vertical="top" shrinkToFit="1"/>
    </xf>
    <xf numFmtId="0" fontId="26" fillId="0" borderId="0" xfId="0" applyFont="1" applyAlignment="1">
      <alignment horizontal="left" vertical="top"/>
    </xf>
    <xf numFmtId="0" fontId="26" fillId="0" borderId="0" xfId="0" applyFont="1" applyAlignment="1">
      <alignment horizontal="left" vertical="top" wrapText="1"/>
    </xf>
    <xf numFmtId="176" fontId="18" fillId="0" borderId="0" xfId="0" applyNumberFormat="1" applyFont="1" applyAlignment="1">
      <alignment horizontal="left" vertical="center"/>
    </xf>
    <xf numFmtId="0" fontId="28" fillId="0" borderId="0" xfId="0" applyFont="1" applyAlignment="1">
      <alignment horizontal="center" vertical="center"/>
    </xf>
    <xf numFmtId="0" fontId="33" fillId="0" borderId="0" xfId="0" applyFont="1" applyAlignment="1">
      <alignment horizontal="center" vertical="center"/>
    </xf>
    <xf numFmtId="0" fontId="36" fillId="0" borderId="0" xfId="0" applyFont="1" applyAlignment="1">
      <alignment horizontal="left" vertical="top" wrapText="1"/>
    </xf>
    <xf numFmtId="0" fontId="33" fillId="0" borderId="0" xfId="0" applyFont="1" applyAlignment="1">
      <alignment horizontal="left" vertical="top" wrapText="1"/>
    </xf>
    <xf numFmtId="0" fontId="30" fillId="0" borderId="0" xfId="0" applyFont="1" applyAlignment="1">
      <alignment horizontal="left" vertical="top" wrapText="1"/>
    </xf>
    <xf numFmtId="0" fontId="0" fillId="0" borderId="4" xfId="0" applyBorder="1" applyAlignment="1"/>
    <xf numFmtId="0" fontId="0" fillId="0" borderId="15" xfId="0" applyBorder="1" applyAlignment="1"/>
    <xf numFmtId="0" fontId="0" fillId="0" borderId="3" xfId="0" applyBorder="1" applyAlignment="1"/>
    <xf numFmtId="0" fontId="99" fillId="0" borderId="1" xfId="0" applyFont="1" applyBorder="1" applyAlignment="1">
      <alignment vertical="center" wrapText="1"/>
    </xf>
    <xf numFmtId="0" fontId="0" fillId="0" borderId="1" xfId="0" applyBorder="1" applyAlignment="1">
      <alignment horizontal="distributed"/>
    </xf>
    <xf numFmtId="0" fontId="0" fillId="0" borderId="0" xfId="0" applyAlignment="1"/>
    <xf numFmtId="0" fontId="0" fillId="0" borderId="0" xfId="0" applyAlignment="1">
      <alignment horizontal="left"/>
    </xf>
    <xf numFmtId="0" fontId="61" fillId="0" borderId="0" xfId="0" applyFont="1" applyAlignment="1">
      <alignment horizontal="center" shrinkToFit="1"/>
    </xf>
    <xf numFmtId="0" fontId="99" fillId="0" borderId="0" xfId="0" applyFont="1" applyAlignment="1">
      <alignment horizontal="left" vertical="top" wrapText="1"/>
    </xf>
    <xf numFmtId="0" fontId="60" fillId="0" borderId="0" xfId="0" applyFont="1" applyAlignment="1">
      <alignment horizontal="right" vertical="center" wrapText="1"/>
    </xf>
    <xf numFmtId="0" fontId="62" fillId="0" borderId="0" xfId="0" applyFont="1" applyAlignment="1">
      <alignment horizontal="center"/>
    </xf>
    <xf numFmtId="0" fontId="87" fillId="0" borderId="0" xfId="0" applyFont="1" applyAlignment="1">
      <alignment horizontal="right" vertical="center"/>
    </xf>
    <xf numFmtId="0" fontId="8" fillId="6" borderId="10" xfId="0" applyFont="1" applyFill="1" applyBorder="1" applyAlignment="1">
      <alignment horizontal="center" vertical="center"/>
    </xf>
    <xf numFmtId="0" fontId="8" fillId="6" borderId="11"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2" xfId="0" applyFont="1" applyFill="1" applyBorder="1" applyAlignment="1">
      <alignment horizontal="center" vertical="center"/>
    </xf>
    <xf numFmtId="0" fontId="8" fillId="6" borderId="5" xfId="0" applyFont="1" applyFill="1" applyBorder="1" applyAlignment="1">
      <alignment horizontal="center" vertical="center"/>
    </xf>
    <xf numFmtId="178" fontId="8" fillId="0" borderId="9" xfId="0" applyNumberFormat="1" applyFont="1" applyBorder="1" applyAlignment="1">
      <alignment horizontal="right" vertical="center" wrapText="1"/>
    </xf>
    <xf numFmtId="178" fontId="39" fillId="0" borderId="6" xfId="0" applyNumberFormat="1" applyFont="1" applyBorder="1" applyAlignment="1">
      <alignment horizontal="right" vertical="center" wrapText="1"/>
    </xf>
    <xf numFmtId="0" fontId="8" fillId="6" borderId="14"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41" fillId="0" borderId="17" xfId="0" applyFont="1" applyBorder="1" applyAlignment="1">
      <alignment horizontal="center" vertical="center"/>
    </xf>
    <xf numFmtId="0" fontId="41" fillId="0" borderId="6" xfId="0" applyFont="1" applyBorder="1" applyAlignment="1">
      <alignment horizontal="center" vertical="center"/>
    </xf>
    <xf numFmtId="0" fontId="8" fillId="6" borderId="4" xfId="0" applyFont="1" applyFill="1" applyBorder="1" applyAlignment="1">
      <alignment horizontal="center" vertical="center" wrapText="1"/>
    </xf>
    <xf numFmtId="0" fontId="8" fillId="6" borderId="15"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6" borderId="1" xfId="0" applyFont="1" applyFill="1" applyBorder="1" applyAlignment="1">
      <alignment horizontal="center" vertical="center"/>
    </xf>
    <xf numFmtId="0" fontId="40" fillId="6" borderId="9" xfId="0" applyFont="1" applyFill="1" applyBorder="1" applyAlignment="1">
      <alignment horizontal="center" vertical="center" wrapText="1"/>
    </xf>
    <xf numFmtId="0" fontId="40" fillId="6" borderId="6" xfId="0" applyFont="1" applyFill="1" applyBorder="1" applyAlignment="1">
      <alignment horizontal="center" vertical="center" wrapText="1"/>
    </xf>
    <xf numFmtId="0" fontId="8" fillId="0" borderId="22" xfId="0" applyFont="1" applyBorder="1" applyAlignment="1">
      <alignment horizontal="left" vertical="center" shrinkToFit="1"/>
    </xf>
    <xf numFmtId="0" fontId="8" fillId="0" borderId="23" xfId="0" applyFont="1" applyBorder="1" applyAlignment="1">
      <alignment horizontal="left" vertical="center" shrinkToFit="1"/>
    </xf>
    <xf numFmtId="0" fontId="8" fillId="0" borderId="1" xfId="0" applyFont="1" applyBorder="1" applyAlignment="1">
      <alignment horizontal="left" vertical="center"/>
    </xf>
    <xf numFmtId="0" fontId="8" fillId="6" borderId="4" xfId="0" applyFont="1" applyFill="1" applyBorder="1" applyAlignment="1">
      <alignment horizontal="center" vertical="center" shrinkToFit="1"/>
    </xf>
    <xf numFmtId="0" fontId="8" fillId="6" borderId="15" xfId="0" applyFont="1" applyFill="1" applyBorder="1" applyAlignment="1">
      <alignment horizontal="center" vertical="center" shrinkToFit="1"/>
    </xf>
    <xf numFmtId="0" fontId="8" fillId="6" borderId="3" xfId="0" applyFont="1" applyFill="1" applyBorder="1" applyAlignment="1">
      <alignment horizontal="center" vertical="center" shrinkToFit="1"/>
    </xf>
    <xf numFmtId="0" fontId="0" fillId="0" borderId="1" xfId="0" applyBorder="1" applyAlignment="1">
      <alignment horizontal="center" vertical="center"/>
    </xf>
    <xf numFmtId="178" fontId="8" fillId="0" borderId="1" xfId="0" applyNumberFormat="1" applyFont="1" applyBorder="1" applyAlignment="1">
      <alignment horizontal="right" wrapText="1"/>
    </xf>
    <xf numFmtId="0" fontId="8" fillId="6" borderId="1" xfId="0" applyFont="1" applyFill="1" applyBorder="1" applyAlignment="1">
      <alignment horizontal="center" vertical="center" shrinkToFit="1"/>
    </xf>
    <xf numFmtId="178" fontId="8" fillId="0" borderId="9" xfId="0" applyNumberFormat="1" applyFont="1" applyBorder="1" applyAlignment="1">
      <alignment horizontal="right" wrapText="1"/>
    </xf>
    <xf numFmtId="178" fontId="39" fillId="0" borderId="6" xfId="0" applyNumberFormat="1" applyFont="1" applyBorder="1" applyAlignment="1">
      <alignment horizontal="right" wrapText="1"/>
    </xf>
    <xf numFmtId="0" fontId="41" fillId="0" borderId="17" xfId="0" applyFont="1" applyBorder="1" applyAlignment="1">
      <alignment horizontal="center" vertical="center" shrinkToFit="1"/>
    </xf>
    <xf numFmtId="0" fontId="41" fillId="0" borderId="6" xfId="0" applyFont="1" applyBorder="1" applyAlignment="1">
      <alignment horizontal="center" vertical="center" shrinkToFit="1"/>
    </xf>
    <xf numFmtId="0" fontId="8" fillId="0" borderId="9" xfId="0" applyFont="1" applyBorder="1" applyAlignment="1">
      <alignment horizontal="left" vertical="center"/>
    </xf>
    <xf numFmtId="0" fontId="8" fillId="0" borderId="6" xfId="0" applyFont="1" applyBorder="1" applyAlignment="1">
      <alignment horizontal="left" vertical="center"/>
    </xf>
    <xf numFmtId="0" fontId="8" fillId="0" borderId="9" xfId="0" applyFont="1" applyBorder="1" applyAlignment="1">
      <alignment horizontal="center" vertical="center"/>
    </xf>
    <xf numFmtId="0" fontId="8" fillId="0" borderId="6" xfId="0" applyFont="1" applyBorder="1" applyAlignment="1">
      <alignment horizontal="center" vertical="center"/>
    </xf>
    <xf numFmtId="38" fontId="0" fillId="8" borderId="0" xfId="1" applyFont="1" applyFill="1" applyAlignment="1">
      <alignment horizontal="left" vertical="top" wrapText="1"/>
    </xf>
    <xf numFmtId="38" fontId="0" fillId="8" borderId="0" xfId="1" quotePrefix="1" applyFont="1" applyFill="1" applyAlignment="1">
      <alignment horizontal="left" vertical="top" wrapText="1"/>
    </xf>
    <xf numFmtId="179" fontId="3" fillId="8" borderId="0" xfId="0" applyNumberFormat="1" applyFont="1" applyFill="1" applyAlignment="1">
      <alignment horizontal="right" vertical="center" wrapText="1"/>
    </xf>
    <xf numFmtId="0" fontId="42" fillId="0" borderId="0" xfId="0" applyFont="1" applyAlignment="1">
      <alignment horizontal="center" vertical="center"/>
    </xf>
    <xf numFmtId="0" fontId="43" fillId="10"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179" fontId="43" fillId="0" borderId="0" xfId="1" applyNumberFormat="1" applyFont="1" applyAlignment="1">
      <alignment horizontal="center" vertical="center" shrinkToFit="1"/>
    </xf>
    <xf numFmtId="0" fontId="111" fillId="0" borderId="0" xfId="0" applyFont="1" applyAlignment="1">
      <alignment horizontal="left"/>
    </xf>
    <xf numFmtId="0" fontId="0" fillId="0" borderId="0" xfId="0" applyAlignment="1">
      <alignment horizontal="right" vertical="center"/>
    </xf>
    <xf numFmtId="0" fontId="3" fillId="9" borderId="0" xfId="0" applyFont="1" applyFill="1" applyAlignment="1">
      <alignment horizontal="center" vertical="center" wrapText="1"/>
    </xf>
    <xf numFmtId="0" fontId="19" fillId="7" borderId="0" xfId="0" applyFont="1" applyFill="1" applyAlignment="1">
      <alignment horizontal="center" vertical="center" wrapText="1"/>
    </xf>
    <xf numFmtId="0" fontId="3" fillId="7" borderId="0" xfId="0" applyFont="1" applyFill="1" applyAlignment="1">
      <alignment horizontal="center" vertical="top"/>
    </xf>
    <xf numFmtId="0" fontId="0" fillId="7" borderId="0" xfId="0" applyFill="1" applyAlignment="1">
      <alignment horizontal="center" vertical="top"/>
    </xf>
    <xf numFmtId="0" fontId="3" fillId="8" borderId="0" xfId="0" applyFont="1" applyFill="1" applyAlignment="1">
      <alignment horizontal="center" vertical="top"/>
    </xf>
    <xf numFmtId="179" fontId="3" fillId="7" borderId="0" xfId="0" applyNumberFormat="1" applyFont="1" applyFill="1" applyAlignment="1">
      <alignment horizontal="center" vertical="center" shrinkToFit="1"/>
    </xf>
    <xf numFmtId="179" fontId="19" fillId="7" borderId="0" xfId="0" applyNumberFormat="1" applyFont="1" applyFill="1" applyAlignment="1">
      <alignment horizontal="center" vertical="center" shrinkToFit="1"/>
    </xf>
    <xf numFmtId="0" fontId="0" fillId="7" borderId="0" xfId="0" applyFill="1" applyAlignment="1">
      <alignment horizontal="center" vertical="center" shrinkToFit="1"/>
    </xf>
    <xf numFmtId="0" fontId="0" fillId="7" borderId="0" xfId="0" quotePrefix="1" applyFill="1" applyAlignment="1">
      <alignment horizontal="left" vertical="center"/>
    </xf>
    <xf numFmtId="0" fontId="0" fillId="7" borderId="0" xfId="0" applyFill="1" applyAlignment="1">
      <alignment horizontal="left" vertical="center"/>
    </xf>
    <xf numFmtId="0" fontId="19" fillId="8" borderId="0" xfId="0" applyFont="1" applyFill="1" applyAlignment="1">
      <alignment horizontal="center" vertical="center" wrapText="1"/>
    </xf>
    <xf numFmtId="179" fontId="3" fillId="7" borderId="0" xfId="0" applyNumberFormat="1" applyFont="1" applyFill="1" applyAlignment="1">
      <alignment horizontal="left" vertical="center" shrinkToFit="1"/>
    </xf>
    <xf numFmtId="0" fontId="0" fillId="7" borderId="0" xfId="0" applyFill="1" applyAlignment="1">
      <alignment horizontal="center" vertical="center"/>
    </xf>
    <xf numFmtId="179" fontId="3" fillId="8" borderId="0" xfId="1" applyNumberFormat="1" applyFont="1" applyFill="1" applyAlignment="1">
      <alignment horizontal="right" vertical="top" wrapText="1"/>
    </xf>
    <xf numFmtId="0" fontId="0" fillId="8" borderId="0" xfId="0" applyFill="1" applyAlignment="1">
      <alignment horizontal="left" vertical="top" wrapText="1"/>
    </xf>
    <xf numFmtId="0" fontId="47" fillId="0" borderId="0" xfId="0" applyFont="1" applyAlignment="1">
      <alignment horizontal="center" vertical="center"/>
    </xf>
    <xf numFmtId="0" fontId="19" fillId="7" borderId="0" xfId="0" applyFont="1" applyFill="1" applyAlignment="1">
      <alignment horizontal="left" vertical="top" wrapText="1"/>
    </xf>
    <xf numFmtId="0" fontId="93" fillId="0" borderId="1" xfId="3" applyFont="1" applyBorder="1" applyAlignment="1">
      <alignment horizontal="center" vertical="center"/>
    </xf>
    <xf numFmtId="0" fontId="94" fillId="0" borderId="1" xfId="3" applyFont="1" applyBorder="1" applyAlignment="1">
      <alignment horizontal="center" vertical="center" wrapText="1"/>
    </xf>
    <xf numFmtId="0" fontId="89" fillId="0" borderId="10" xfId="3" applyFont="1" applyBorder="1" applyAlignment="1">
      <alignment horizontal="left" vertical="top"/>
    </xf>
    <xf numFmtId="0" fontId="89" fillId="0" borderId="11" xfId="3" applyFont="1" applyBorder="1" applyAlignment="1">
      <alignment horizontal="left" vertical="top"/>
    </xf>
    <xf numFmtId="0" fontId="89" fillId="0" borderId="8" xfId="3" applyFont="1" applyBorder="1" applyAlignment="1">
      <alignment horizontal="left" vertical="top"/>
    </xf>
    <xf numFmtId="0" fontId="89" fillId="0" borderId="7" xfId="3" applyFont="1" applyBorder="1" applyAlignment="1">
      <alignment horizontal="center" vertical="center" shrinkToFit="1"/>
    </xf>
    <xf numFmtId="0" fontId="89" fillId="0" borderId="2" xfId="3" applyFont="1" applyBorder="1" applyAlignment="1">
      <alignment horizontal="center" vertical="center" shrinkToFit="1"/>
    </xf>
    <xf numFmtId="0" fontId="89" fillId="0" borderId="5" xfId="3" applyFont="1" applyBorder="1" applyAlignment="1">
      <alignment horizontal="center" vertical="center" shrinkToFit="1"/>
    </xf>
    <xf numFmtId="0" fontId="88" fillId="0" borderId="10" xfId="3" applyFont="1" applyBorder="1" applyAlignment="1">
      <alignment horizontal="center" vertical="center" wrapText="1" shrinkToFit="1"/>
    </xf>
    <xf numFmtId="0" fontId="88" fillId="0" borderId="11" xfId="3" applyFont="1" applyBorder="1" applyAlignment="1">
      <alignment horizontal="center" vertical="center" wrapText="1" shrinkToFit="1"/>
    </xf>
    <xf numFmtId="0" fontId="88" fillId="0" borderId="69" xfId="3" applyFont="1" applyBorder="1" applyAlignment="1">
      <alignment horizontal="center" vertical="center" wrapText="1" shrinkToFit="1"/>
    </xf>
    <xf numFmtId="0" fontId="88" fillId="0" borderId="70" xfId="3" applyFont="1" applyBorder="1" applyAlignment="1">
      <alignment horizontal="center" vertical="center" wrapText="1" shrinkToFit="1"/>
    </xf>
    <xf numFmtId="0" fontId="88" fillId="0" borderId="71" xfId="3" applyFont="1" applyBorder="1" applyAlignment="1">
      <alignment horizontal="center" vertical="center" wrapText="1" shrinkToFit="1"/>
    </xf>
    <xf numFmtId="0" fontId="88" fillId="0" borderId="72" xfId="3" applyFont="1" applyBorder="1" applyAlignment="1">
      <alignment horizontal="center" vertical="center" wrapText="1" shrinkToFit="1"/>
    </xf>
    <xf numFmtId="0" fontId="89" fillId="0" borderId="10" xfId="3" applyFont="1" applyBorder="1" applyAlignment="1">
      <alignment horizontal="left" vertical="top" shrinkToFit="1"/>
    </xf>
    <xf numFmtId="0" fontId="89" fillId="0" borderId="11" xfId="3" applyFont="1" applyBorder="1" applyAlignment="1">
      <alignment horizontal="left" vertical="top" shrinkToFit="1"/>
    </xf>
    <xf numFmtId="0" fontId="89" fillId="0" borderId="8" xfId="3" applyFont="1" applyBorder="1" applyAlignment="1">
      <alignment horizontal="left" vertical="top" shrinkToFit="1"/>
    </xf>
  </cellXfs>
  <cellStyles count="5">
    <cellStyle name="桁区切り" xfId="1" builtinId="6"/>
    <cellStyle name="標準" xfId="0" builtinId="0"/>
    <cellStyle name="標準 2" xfId="2" xr:uid="{19A02DB5-F83B-4404-B4E6-492545AD89D9}"/>
    <cellStyle name="標準 2 2" xfId="4" xr:uid="{38D32840-6923-4CB9-8940-7D6E753FF1B8}"/>
    <cellStyle name="標準 3" xfId="3" xr:uid="{8628AE9D-A50B-4D57-8319-CF5DE6F3777B}"/>
  </cellStyles>
  <dxfs count="31">
    <dxf>
      <font>
        <b/>
        <i val="0"/>
        <color rgb="FFC00000"/>
      </font>
      <fill>
        <patternFill>
          <bgColor rgb="FFFFFF00"/>
        </patternFill>
      </fill>
    </dxf>
    <dxf>
      <fill>
        <patternFill>
          <bgColor rgb="FFFFFF00"/>
        </patternFill>
      </fill>
    </dxf>
    <dxf>
      <fill>
        <patternFill>
          <bgColor rgb="FFFFFF00"/>
        </patternFill>
      </fill>
    </dxf>
    <dxf>
      <fill>
        <patternFill>
          <bgColor rgb="FFFFFF00"/>
        </patternFill>
      </fill>
    </dxf>
    <dxf>
      <font>
        <b val="0"/>
        <i val="0"/>
        <strike val="0"/>
        <condense val="0"/>
        <extend val="0"/>
        <outline val="0"/>
        <shadow val="0"/>
        <u val="none"/>
        <vertAlign val="baseline"/>
        <sz val="11"/>
        <color theme="1"/>
        <name val="メイリオ"/>
        <family val="3"/>
        <charset val="128"/>
        <scheme val="none"/>
      </font>
      <numFmt numFmtId="30" formatCode="@"/>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メイリオ"/>
        <family val="3"/>
        <charset val="128"/>
        <scheme val="none"/>
      </font>
      <protection locked="0" hidden="0"/>
    </dxf>
    <dxf>
      <border outline="0">
        <bottom style="thin">
          <color indexed="64"/>
        </bottom>
      </border>
    </dxf>
    <dxf>
      <font>
        <b val="0"/>
        <i val="0"/>
        <strike val="0"/>
        <condense val="0"/>
        <extend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name val="メイリオ"/>
        <family val="3"/>
        <charset val="128"/>
        <scheme val="none"/>
      </font>
      <alignment horizontal="general" vertical="center" textRotation="0" wrapText="0" indent="0" justifyLastLine="0" shrinkToFit="0" readingOrder="0"/>
      <protection locked="0" hidden="0"/>
    </dxf>
    <dxf>
      <font>
        <strike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protection locked="0" hidden="0"/>
    </dxf>
    <dxf>
      <font>
        <strike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numFmt numFmtId="0" formatCode="General"/>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numFmt numFmtId="176" formatCode="[$]ggge&quot;年&quot;m&quot;月&quot;d&quot;日&quot;;@" x16r2:formatCode16="[$-ja-JP-x-gannen]ggge&quot;年&quot;m&quot;月&quot;d&quot;日&quot;;@"/>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numFmt numFmtId="176" formatCode="[$]ggge&quot;年&quot;m&quot;月&quot;d&quot;日&quot;;@" x16r2:formatCode16="[$-ja-JP-x-gannen]ggge&quot;年&quot;m&quot;月&quot;d&quot;日&quot;;@"/>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メイリオ"/>
        <family val="3"/>
        <charset val="128"/>
        <scheme val="none"/>
      </font>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1"/>
        <color theme="1"/>
        <name val="メイリオ"/>
        <family val="3"/>
        <charset val="128"/>
        <scheme val="none"/>
      </font>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EF4CE"/>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CheckBox" checked="Checked" fmlaLink="$I$9" lockText="1" noThreeD="1"/>
</file>

<file path=xl/ctrlProps/ctrlProp2.xml><?xml version="1.0" encoding="utf-8"?>
<formControlPr xmlns="http://schemas.microsoft.com/office/spreadsheetml/2009/9/main" objectType="CheckBox" checked="Checked" fmlaLink="$I$10" lockText="1" noThreeD="1"/>
</file>

<file path=xl/ctrlProps/ctrlProp3.xml><?xml version="1.0" encoding="utf-8"?>
<formControlPr xmlns="http://schemas.microsoft.com/office/spreadsheetml/2009/9/main" objectType="CheckBox" checked="Checked" fmlaLink="$I$11" lockText="1" noThreeD="1"/>
</file>

<file path=xl/ctrlProps/ctrlProp4.xml><?xml version="1.0" encoding="utf-8"?>
<formControlPr xmlns="http://schemas.microsoft.com/office/spreadsheetml/2009/9/main" objectType="CheckBox" checked="Checked" fmlaLink="$I$12" lockText="1" noThreeD="1"/>
</file>

<file path=xl/ctrlProps/ctrlProp5.xml><?xml version="1.0" encoding="utf-8"?>
<formControlPr xmlns="http://schemas.microsoft.com/office/spreadsheetml/2009/9/main" objectType="CheckBox" checked="Checked" fmlaLink="$I$13" lockText="1" noThreeD="1"/>
</file>

<file path=xl/ctrlProps/ctrlProp6.xml><?xml version="1.0" encoding="utf-8"?>
<formControlPr xmlns="http://schemas.microsoft.com/office/spreadsheetml/2009/9/main" objectType="CheckBox" checked="Checked" fmlaLink="$I$14" lockText="1" noThreeD="1"/>
</file>

<file path=xl/ctrlProps/ctrlProp7.xml><?xml version="1.0" encoding="utf-8"?>
<formControlPr xmlns="http://schemas.microsoft.com/office/spreadsheetml/2009/9/main" objectType="CheckBox" checked="Checked" fmlaLink="$I$15" lockText="1" noThreeD="1"/>
</file>

<file path=xl/ctrlProps/ctrlProp8.xml><?xml version="1.0" encoding="utf-8"?>
<formControlPr xmlns="http://schemas.microsoft.com/office/spreadsheetml/2009/9/main" objectType="CheckBox" fmlaLink="$I$16" lockText="1" noThreeD="1"/>
</file>

<file path=xl/ctrlProps/ctrlProp9.xml><?xml version="1.0" encoding="utf-8"?>
<formControlPr xmlns="http://schemas.microsoft.com/office/spreadsheetml/2009/9/main" objectType="CheckBox" fmlaLink="$I$17" lockText="1" noThreeD="1"/>
</file>

<file path=xl/ctrlProps/ctrlProp10.xml><?xml version="1.0" encoding="utf-8"?>
<formControlPr xmlns="http://schemas.microsoft.com/office/spreadsheetml/2009/9/main" objectType="CheckBox" fmlaLink="$I$18" lockText="1" noThreeD="1"/>
</file>

<file path=xl/ctrlProps/ctrlProp11.xml><?xml version="1.0" encoding="utf-8"?>
<formControlPr xmlns="http://schemas.microsoft.com/office/spreadsheetml/2009/9/main" objectType="CheckBox" fmlaLink="$I$19"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990600</xdr:colOff>
          <xdr:row>9</xdr:row>
          <xdr:rowOff>38100</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0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990600</xdr:colOff>
          <xdr:row>10</xdr:row>
          <xdr:rowOff>38100</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0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990600</xdr:colOff>
          <xdr:row>11</xdr:row>
          <xdr:rowOff>38100</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00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990600</xdr:colOff>
          <xdr:row>12</xdr:row>
          <xdr:rowOff>38100</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0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990600</xdr:colOff>
          <xdr:row>13</xdr:row>
          <xdr:rowOff>38100</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0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990600</xdr:colOff>
          <xdr:row>14</xdr:row>
          <xdr:rowOff>38100</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0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990600</xdr:colOff>
          <xdr:row>15</xdr:row>
          <xdr:rowOff>38100</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00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990600</xdr:colOff>
          <xdr:row>16</xdr:row>
          <xdr:rowOff>38100</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0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990600</xdr:colOff>
          <xdr:row>17</xdr:row>
          <xdr:rowOff>38100</xdr:rowOff>
        </xdr:to>
        <xdr:sp macro="" textlink="">
          <xdr:nvSpPr>
            <xdr:cNvPr id="5131" name="Check Box 11" hidden="1">
              <a:extLst>
                <a:ext uri="{63B3BB69-23CF-44E3-9099-C40C66FF867C}">
                  <a14:compatExt spid="_x0000_s5131"/>
                </a:ext>
                <a:ext uri="{FF2B5EF4-FFF2-40B4-BE49-F238E27FC236}">
                  <a16:creationId xmlns:a16="http://schemas.microsoft.com/office/drawing/2014/main" id="{00000000-0008-0000-0000-00000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990600</xdr:colOff>
          <xdr:row>18</xdr:row>
          <xdr:rowOff>38100</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0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990600</xdr:colOff>
          <xdr:row>19</xdr:row>
          <xdr:rowOff>38100</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0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38100</xdr:colOff>
          <xdr:row>22</xdr:row>
          <xdr:rowOff>152400</xdr:rowOff>
        </xdr:from>
        <xdr:to>
          <xdr:col>0</xdr:col>
          <xdr:colOff>295275</xdr:colOff>
          <xdr:row>22</xdr:row>
          <xdr:rowOff>400050</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1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23</xdr:row>
          <xdr:rowOff>266700</xdr:rowOff>
        </xdr:from>
        <xdr:to>
          <xdr:col>0</xdr:col>
          <xdr:colOff>295275</xdr:colOff>
          <xdr:row>23</xdr:row>
          <xdr:rowOff>514350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100-00000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24</xdr:row>
          <xdr:rowOff>142875</xdr:rowOff>
        </xdr:from>
        <xdr:to>
          <xdr:col>0</xdr:col>
          <xdr:colOff>295275</xdr:colOff>
          <xdr:row>24</xdr:row>
          <xdr:rowOff>390525</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100-00000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21</xdr:row>
          <xdr:rowOff>0</xdr:rowOff>
        </xdr:from>
        <xdr:to>
          <xdr:col>0</xdr:col>
          <xdr:colOff>295275</xdr:colOff>
          <xdr:row>21</xdr:row>
          <xdr:rowOff>257175</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100-00000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21</xdr:row>
          <xdr:rowOff>266700</xdr:rowOff>
        </xdr:from>
        <xdr:to>
          <xdr:col>0</xdr:col>
          <xdr:colOff>295275</xdr:colOff>
          <xdr:row>21</xdr:row>
          <xdr:rowOff>514350</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100-00000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26</xdr:row>
          <xdr:rowOff>133350</xdr:rowOff>
        </xdr:from>
        <xdr:to>
          <xdr:col>0</xdr:col>
          <xdr:colOff>295275</xdr:colOff>
          <xdr:row>26</xdr:row>
          <xdr:rowOff>381000</xdr:rowOff>
        </xdr:to>
        <xdr:sp macro="" textlink="">
          <xdr:nvSpPr>
            <xdr:cNvPr id="12300" name="Check Box 12" hidden="1">
              <a:extLst>
                <a:ext uri="{63B3BB69-23CF-44E3-9099-C40C66FF867C}">
                  <a14:compatExt spid="_x0000_s12300"/>
                </a:ext>
                <a:ext uri="{FF2B5EF4-FFF2-40B4-BE49-F238E27FC236}">
                  <a16:creationId xmlns:a16="http://schemas.microsoft.com/office/drawing/2014/main" id="{00000000-0008-0000-0100-00000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27</xdr:row>
          <xdr:rowOff>133350</xdr:rowOff>
        </xdr:from>
        <xdr:to>
          <xdr:col>0</xdr:col>
          <xdr:colOff>295275</xdr:colOff>
          <xdr:row>27</xdr:row>
          <xdr:rowOff>381000</xdr:rowOff>
        </xdr:to>
        <xdr:sp macro="" textlink="">
          <xdr:nvSpPr>
            <xdr:cNvPr id="12302" name="Check Box 14" hidden="1">
              <a:extLst>
                <a:ext uri="{63B3BB69-23CF-44E3-9099-C40C66FF867C}">
                  <a14:compatExt spid="_x0000_s12302"/>
                </a:ext>
                <a:ext uri="{FF2B5EF4-FFF2-40B4-BE49-F238E27FC236}">
                  <a16:creationId xmlns:a16="http://schemas.microsoft.com/office/drawing/2014/main" id="{00000000-0008-0000-0100-00000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28</xdr:row>
          <xdr:rowOff>133350</xdr:rowOff>
        </xdr:from>
        <xdr:to>
          <xdr:col>0</xdr:col>
          <xdr:colOff>295275</xdr:colOff>
          <xdr:row>28</xdr:row>
          <xdr:rowOff>381000</xdr:rowOff>
        </xdr:to>
        <xdr:sp macro="" textlink="">
          <xdr:nvSpPr>
            <xdr:cNvPr id="12303" name="Check Box 15" hidden="1">
              <a:extLst>
                <a:ext uri="{63B3BB69-23CF-44E3-9099-C40C66FF867C}">
                  <a14:compatExt spid="_x0000_s12303"/>
                </a:ext>
                <a:ext uri="{FF2B5EF4-FFF2-40B4-BE49-F238E27FC236}">
                  <a16:creationId xmlns:a16="http://schemas.microsoft.com/office/drawing/2014/main" id="{00000000-0008-0000-0100-00000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29</xdr:row>
          <xdr:rowOff>133350</xdr:rowOff>
        </xdr:from>
        <xdr:to>
          <xdr:col>0</xdr:col>
          <xdr:colOff>295275</xdr:colOff>
          <xdr:row>29</xdr:row>
          <xdr:rowOff>381000</xdr:rowOff>
        </xdr:to>
        <xdr:sp macro="" textlink="">
          <xdr:nvSpPr>
            <xdr:cNvPr id="12304" name="Check Box 16" hidden="1">
              <a:extLst>
                <a:ext uri="{63B3BB69-23CF-44E3-9099-C40C66FF867C}">
                  <a14:compatExt spid="_x0000_s12304"/>
                </a:ext>
                <a:ext uri="{FF2B5EF4-FFF2-40B4-BE49-F238E27FC236}">
                  <a16:creationId xmlns:a16="http://schemas.microsoft.com/office/drawing/2014/main" id="{00000000-0008-0000-0100-00001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26</xdr:row>
          <xdr:rowOff>133350</xdr:rowOff>
        </xdr:from>
        <xdr:to>
          <xdr:col>3</xdr:col>
          <xdr:colOff>285750</xdr:colOff>
          <xdr:row>26</xdr:row>
          <xdr:rowOff>381000</xdr:rowOff>
        </xdr:to>
        <xdr:sp macro="" textlink="">
          <xdr:nvSpPr>
            <xdr:cNvPr id="12306" name="Check Box 18" hidden="1">
              <a:extLst>
                <a:ext uri="{63B3BB69-23CF-44E3-9099-C40C66FF867C}">
                  <a14:compatExt spid="_x0000_s12306"/>
                </a:ext>
                <a:ext uri="{FF2B5EF4-FFF2-40B4-BE49-F238E27FC236}">
                  <a16:creationId xmlns:a16="http://schemas.microsoft.com/office/drawing/2014/main" id="{00000000-0008-0000-0100-00001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27</xdr:row>
          <xdr:rowOff>133350</xdr:rowOff>
        </xdr:from>
        <xdr:to>
          <xdr:col>3</xdr:col>
          <xdr:colOff>285750</xdr:colOff>
          <xdr:row>27</xdr:row>
          <xdr:rowOff>381000</xdr:rowOff>
        </xdr:to>
        <xdr:sp macro="" textlink="">
          <xdr:nvSpPr>
            <xdr:cNvPr id="12307" name="Check Box 19" hidden="1">
              <a:extLst>
                <a:ext uri="{63B3BB69-23CF-44E3-9099-C40C66FF867C}">
                  <a14:compatExt spid="_x0000_s12307"/>
                </a:ext>
                <a:ext uri="{FF2B5EF4-FFF2-40B4-BE49-F238E27FC236}">
                  <a16:creationId xmlns:a16="http://schemas.microsoft.com/office/drawing/2014/main" id="{00000000-0008-0000-01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28</xdr:row>
          <xdr:rowOff>133350</xdr:rowOff>
        </xdr:from>
        <xdr:to>
          <xdr:col>3</xdr:col>
          <xdr:colOff>285750</xdr:colOff>
          <xdr:row>28</xdr:row>
          <xdr:rowOff>381000</xdr:rowOff>
        </xdr:to>
        <xdr:sp macro="" textlink="">
          <xdr:nvSpPr>
            <xdr:cNvPr id="12308" name="Check Box 20" hidden="1">
              <a:extLst>
                <a:ext uri="{63B3BB69-23CF-44E3-9099-C40C66FF867C}">
                  <a14:compatExt spid="_x0000_s12308"/>
                </a:ext>
                <a:ext uri="{FF2B5EF4-FFF2-40B4-BE49-F238E27FC236}">
                  <a16:creationId xmlns:a16="http://schemas.microsoft.com/office/drawing/2014/main" id="{00000000-0008-0000-01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29</xdr:row>
          <xdr:rowOff>133350</xdr:rowOff>
        </xdr:from>
        <xdr:to>
          <xdr:col>3</xdr:col>
          <xdr:colOff>285750</xdr:colOff>
          <xdr:row>29</xdr:row>
          <xdr:rowOff>381000</xdr:rowOff>
        </xdr:to>
        <xdr:sp macro="" textlink="">
          <xdr:nvSpPr>
            <xdr:cNvPr id="12309" name="Check Box 21" hidden="1">
              <a:extLst>
                <a:ext uri="{63B3BB69-23CF-44E3-9099-C40C66FF867C}">
                  <a14:compatExt spid="_x0000_s12309"/>
                </a:ext>
                <a:ext uri="{FF2B5EF4-FFF2-40B4-BE49-F238E27FC236}">
                  <a16:creationId xmlns:a16="http://schemas.microsoft.com/office/drawing/2014/main" id="{00000000-0008-0000-0100-00001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17</xdr:col>
      <xdr:colOff>242547</xdr:colOff>
      <xdr:row>3</xdr:row>
      <xdr:rowOff>84366</xdr:rowOff>
    </xdr:from>
    <xdr:to>
      <xdr:col>25</xdr:col>
      <xdr:colOff>244294</xdr:colOff>
      <xdr:row>5</xdr:row>
      <xdr:rowOff>129905</xdr:rowOff>
    </xdr:to>
    <xdr:pic>
      <xdr:nvPicPr>
        <xdr:cNvPr id="3" name="図 2" descr="ダイアグラム&#10;&#10;中程度の精度で自動的に生成された説明">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5005047" y="925741"/>
          <a:ext cx="2160747" cy="52178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19050</xdr:rowOff>
    </xdr:from>
    <xdr:to>
      <xdr:col>4</xdr:col>
      <xdr:colOff>57150</xdr:colOff>
      <xdr:row>1</xdr:row>
      <xdr:rowOff>257175</xdr:rowOff>
    </xdr:to>
    <xdr:sp macro="" textlink="">
      <xdr:nvSpPr>
        <xdr:cNvPr id="5122" name="Text Box 2">
          <a:extLst>
            <a:ext uri="{FF2B5EF4-FFF2-40B4-BE49-F238E27FC236}">
              <a16:creationId xmlns:a16="http://schemas.microsoft.com/office/drawing/2014/main" id="{00000000-0008-0000-0800-000002140000}"/>
            </a:ext>
          </a:extLst>
        </xdr:cNvPr>
        <xdr:cNvSpPr txBox="1">
          <a:spLocks noChangeArrowheads="1"/>
        </xdr:cNvSpPr>
      </xdr:nvSpPr>
      <xdr:spPr bwMode="auto">
        <a:xfrm>
          <a:off x="19050" y="19050"/>
          <a:ext cx="1914525" cy="476250"/>
        </a:xfrm>
        <a:prstGeom prst="rect">
          <a:avLst/>
        </a:prstGeom>
        <a:solidFill>
          <a:srgbClr val="FFFFFF"/>
        </a:solidFill>
        <a:ln w="25400">
          <a:solidFill>
            <a:srgbClr val="FF0000"/>
          </a:solidFill>
          <a:miter lim="800000"/>
          <a:headEnd/>
          <a:tailEnd/>
        </a:ln>
      </xdr:spPr>
      <xdr:txBody>
        <a:bodyPr vertOverflow="clip" wrap="square" lIns="74295" tIns="8890" rIns="74295" bIns="8890" anchor="ctr" upright="1"/>
        <a:lstStyle/>
        <a:p>
          <a:pPr algn="ctr" rtl="0">
            <a:defRPr sz="1000"/>
          </a:pPr>
          <a:r>
            <a:rPr lang="ja-JP" altLang="en-US" sz="1050" b="1" i="0" u="none" strike="noStrike" baseline="0">
              <a:solidFill>
                <a:srgbClr val="FF0000"/>
              </a:solidFill>
              <a:latin typeface="ＭＳ ゴシック"/>
              <a:ea typeface="ＭＳ ゴシック"/>
            </a:rPr>
            <a:t>原本還付お願いします</a:t>
          </a:r>
          <a:endParaRPr lang="ja-JP" altLang="en-US" sz="1050" b="0" i="0" u="none" strike="noStrike" baseline="0">
            <a:solidFill>
              <a:srgbClr val="000000"/>
            </a:solidFill>
            <a:latin typeface="Century"/>
          </a:endParaRPr>
        </a:p>
      </xdr:txBody>
    </xdr:sp>
    <xdr:clientData/>
  </xdr:twoCellAnchor>
  <xdr:twoCellAnchor>
    <xdr:from>
      <xdr:col>7</xdr:col>
      <xdr:colOff>266701</xdr:colOff>
      <xdr:row>39</xdr:row>
      <xdr:rowOff>171445</xdr:rowOff>
    </xdr:from>
    <xdr:to>
      <xdr:col>10</xdr:col>
      <xdr:colOff>152400</xdr:colOff>
      <xdr:row>46</xdr:row>
      <xdr:rowOff>6763</xdr:rowOff>
    </xdr:to>
    <xdr:grpSp>
      <xdr:nvGrpSpPr>
        <xdr:cNvPr id="7" name="グループ化 6">
          <a:extLst>
            <a:ext uri="{FF2B5EF4-FFF2-40B4-BE49-F238E27FC236}">
              <a16:creationId xmlns:a16="http://schemas.microsoft.com/office/drawing/2014/main" id="{00000000-0008-0000-0800-000007000000}"/>
            </a:ext>
          </a:extLst>
        </xdr:cNvPr>
        <xdr:cNvGrpSpPr/>
      </xdr:nvGrpSpPr>
      <xdr:grpSpPr>
        <a:xfrm>
          <a:off x="4436534" y="8415862"/>
          <a:ext cx="1642533" cy="1084151"/>
          <a:chOff x="4958893" y="10704258"/>
          <a:chExt cx="2291330" cy="1479025"/>
        </a:xfrm>
      </xdr:grpSpPr>
      <xdr:sp macro="" textlink="">
        <xdr:nvSpPr>
          <xdr:cNvPr id="2" name="楕円 1">
            <a:extLst>
              <a:ext uri="{FF2B5EF4-FFF2-40B4-BE49-F238E27FC236}">
                <a16:creationId xmlns:a16="http://schemas.microsoft.com/office/drawing/2014/main" id="{00000000-0008-0000-0800-000002000000}"/>
              </a:ext>
            </a:extLst>
          </xdr:cNvPr>
          <xdr:cNvSpPr/>
        </xdr:nvSpPr>
        <xdr:spPr>
          <a:xfrm>
            <a:off x="4958893" y="10704258"/>
            <a:ext cx="1109490" cy="1059116"/>
          </a:xfrm>
          <a:prstGeom prst="ellipse">
            <a:avLst/>
          </a:prstGeom>
          <a:noFill/>
          <a:ln w="9525">
            <a:solidFill>
              <a:schemeClr val="bg2">
                <a:lumMod val="50000"/>
              </a:schemeClr>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 name="楕円 2">
            <a:extLst>
              <a:ext uri="{FF2B5EF4-FFF2-40B4-BE49-F238E27FC236}">
                <a16:creationId xmlns:a16="http://schemas.microsoft.com/office/drawing/2014/main" id="{00000000-0008-0000-0800-000003000000}"/>
              </a:ext>
            </a:extLst>
          </xdr:cNvPr>
          <xdr:cNvSpPr/>
        </xdr:nvSpPr>
        <xdr:spPr>
          <a:xfrm>
            <a:off x="6140733" y="10704263"/>
            <a:ext cx="1109490" cy="1059116"/>
          </a:xfrm>
          <a:prstGeom prst="ellipse">
            <a:avLst/>
          </a:prstGeom>
          <a:noFill/>
          <a:ln w="9525">
            <a:solidFill>
              <a:schemeClr val="bg2">
                <a:lumMod val="50000"/>
              </a:schemeClr>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テキスト ボックス 4">
            <a:extLst>
              <a:ext uri="{FF2B5EF4-FFF2-40B4-BE49-F238E27FC236}">
                <a16:creationId xmlns:a16="http://schemas.microsoft.com/office/drawing/2014/main" id="{00000000-0008-0000-0800-000005000000}"/>
              </a:ext>
            </a:extLst>
          </xdr:cNvPr>
          <xdr:cNvSpPr txBox="1"/>
        </xdr:nvSpPr>
        <xdr:spPr>
          <a:xfrm>
            <a:off x="5241183" y="11734800"/>
            <a:ext cx="670972" cy="4484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solidFill>
                  <a:schemeClr val="bg2">
                    <a:lumMod val="75000"/>
                  </a:schemeClr>
                </a:solidFill>
              </a:rPr>
              <a:t>実印</a:t>
            </a:r>
          </a:p>
        </xdr:txBody>
      </xdr:sp>
      <xdr:sp macro="" textlink="">
        <xdr:nvSpPr>
          <xdr:cNvPr id="6" name="テキスト ボックス 5">
            <a:extLst>
              <a:ext uri="{FF2B5EF4-FFF2-40B4-BE49-F238E27FC236}">
                <a16:creationId xmlns:a16="http://schemas.microsoft.com/office/drawing/2014/main" id="{00000000-0008-0000-0800-000006000000}"/>
              </a:ext>
            </a:extLst>
          </xdr:cNvPr>
          <xdr:cNvSpPr txBox="1"/>
        </xdr:nvSpPr>
        <xdr:spPr>
          <a:xfrm>
            <a:off x="6423023" y="11734803"/>
            <a:ext cx="670972" cy="4484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solidFill>
                  <a:schemeClr val="bg2">
                    <a:lumMod val="75000"/>
                  </a:schemeClr>
                </a:solidFill>
              </a:rPr>
              <a:t>実印</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1079500</xdr:colOff>
      <xdr:row>62</xdr:row>
      <xdr:rowOff>269875</xdr:rowOff>
    </xdr:from>
    <xdr:to>
      <xdr:col>2</xdr:col>
      <xdr:colOff>1762125</xdr:colOff>
      <xdr:row>63</xdr:row>
      <xdr:rowOff>0</xdr:rowOff>
    </xdr:to>
    <xdr:sp macro="" textlink="">
      <xdr:nvSpPr>
        <xdr:cNvPr id="5" name="テキスト ボックス 4">
          <a:extLst>
            <a:ext uri="{FF2B5EF4-FFF2-40B4-BE49-F238E27FC236}">
              <a16:creationId xmlns:a16="http://schemas.microsoft.com/office/drawing/2014/main" id="{00000000-0008-0000-0C00-000005000000}"/>
            </a:ext>
          </a:extLst>
        </xdr:cNvPr>
        <xdr:cNvSpPr txBox="1"/>
      </xdr:nvSpPr>
      <xdr:spPr>
        <a:xfrm>
          <a:off x="1317625" y="23472775"/>
          <a:ext cx="18351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69</xdr:row>
      <xdr:rowOff>269875</xdr:rowOff>
    </xdr:from>
    <xdr:to>
      <xdr:col>2</xdr:col>
      <xdr:colOff>1762125</xdr:colOff>
      <xdr:row>70</xdr:row>
      <xdr:rowOff>0</xdr:rowOff>
    </xdr:to>
    <xdr:sp macro="" textlink="">
      <xdr:nvSpPr>
        <xdr:cNvPr id="6" name="テキスト ボックス 5">
          <a:extLst>
            <a:ext uri="{FF2B5EF4-FFF2-40B4-BE49-F238E27FC236}">
              <a16:creationId xmlns:a16="http://schemas.microsoft.com/office/drawing/2014/main" id="{00000000-0008-0000-0C00-000006000000}"/>
            </a:ext>
          </a:extLst>
        </xdr:cNvPr>
        <xdr:cNvSpPr txBox="1"/>
      </xdr:nvSpPr>
      <xdr:spPr>
        <a:xfrm>
          <a:off x="1317625" y="19240500"/>
          <a:ext cx="1841500" cy="4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7" name="テキスト ボックス 6">
          <a:extLst>
            <a:ext uri="{FF2B5EF4-FFF2-40B4-BE49-F238E27FC236}">
              <a16:creationId xmlns:a16="http://schemas.microsoft.com/office/drawing/2014/main" id="{00000000-0008-0000-0C00-000007000000}"/>
            </a:ext>
          </a:extLst>
        </xdr:cNvPr>
        <xdr:cNvSpPr txBox="1"/>
      </xdr:nvSpPr>
      <xdr:spPr>
        <a:xfrm>
          <a:off x="1317625" y="21336000"/>
          <a:ext cx="1841500" cy="4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8" name="テキスト ボックス 7">
          <a:extLst>
            <a:ext uri="{FF2B5EF4-FFF2-40B4-BE49-F238E27FC236}">
              <a16:creationId xmlns:a16="http://schemas.microsoft.com/office/drawing/2014/main" id="{00000000-0008-0000-0C00-000008000000}"/>
            </a:ext>
          </a:extLst>
        </xdr:cNvPr>
        <xdr:cNvSpPr txBox="1"/>
      </xdr:nvSpPr>
      <xdr:spPr>
        <a:xfrm>
          <a:off x="1317625" y="23431500"/>
          <a:ext cx="1841500" cy="4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9" name="テキスト ボックス 8">
          <a:extLst>
            <a:ext uri="{FF2B5EF4-FFF2-40B4-BE49-F238E27FC236}">
              <a16:creationId xmlns:a16="http://schemas.microsoft.com/office/drawing/2014/main" id="{00000000-0008-0000-0C00-000009000000}"/>
            </a:ext>
          </a:extLst>
        </xdr:cNvPr>
        <xdr:cNvSpPr txBox="1"/>
      </xdr:nvSpPr>
      <xdr:spPr>
        <a:xfrm>
          <a:off x="1317625" y="25527000"/>
          <a:ext cx="1841500" cy="4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62</xdr:row>
      <xdr:rowOff>269875</xdr:rowOff>
    </xdr:from>
    <xdr:to>
      <xdr:col>2</xdr:col>
      <xdr:colOff>1762125</xdr:colOff>
      <xdr:row>63</xdr:row>
      <xdr:rowOff>0</xdr:rowOff>
    </xdr:to>
    <xdr:sp macro="" textlink="">
      <xdr:nvSpPr>
        <xdr:cNvPr id="11" name="テキスト ボックス 10">
          <a:extLst>
            <a:ext uri="{FF2B5EF4-FFF2-40B4-BE49-F238E27FC236}">
              <a16:creationId xmlns:a16="http://schemas.microsoft.com/office/drawing/2014/main" id="{00000000-0008-0000-0C00-00000B000000}"/>
            </a:ext>
          </a:extLst>
        </xdr:cNvPr>
        <xdr:cNvSpPr txBox="1"/>
      </xdr:nvSpPr>
      <xdr:spPr>
        <a:xfrm>
          <a:off x="1317625" y="190722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69</xdr:row>
      <xdr:rowOff>269875</xdr:rowOff>
    </xdr:from>
    <xdr:to>
      <xdr:col>2</xdr:col>
      <xdr:colOff>1762125</xdr:colOff>
      <xdr:row>70</xdr:row>
      <xdr:rowOff>0</xdr:rowOff>
    </xdr:to>
    <xdr:sp macro="" textlink="">
      <xdr:nvSpPr>
        <xdr:cNvPr id="12" name="テキスト ボックス 11">
          <a:extLst>
            <a:ext uri="{FF2B5EF4-FFF2-40B4-BE49-F238E27FC236}">
              <a16:creationId xmlns:a16="http://schemas.microsoft.com/office/drawing/2014/main" id="{00000000-0008-0000-0C00-00000C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13" name="テキスト ボックス 12">
          <a:extLst>
            <a:ext uri="{FF2B5EF4-FFF2-40B4-BE49-F238E27FC236}">
              <a16:creationId xmlns:a16="http://schemas.microsoft.com/office/drawing/2014/main" id="{00000000-0008-0000-0C00-00000D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14" name="テキスト ボックス 13">
          <a:extLst>
            <a:ext uri="{FF2B5EF4-FFF2-40B4-BE49-F238E27FC236}">
              <a16:creationId xmlns:a16="http://schemas.microsoft.com/office/drawing/2014/main" id="{00000000-0008-0000-0C00-00000E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15" name="テキスト ボックス 14">
          <a:extLst>
            <a:ext uri="{FF2B5EF4-FFF2-40B4-BE49-F238E27FC236}">
              <a16:creationId xmlns:a16="http://schemas.microsoft.com/office/drawing/2014/main" id="{00000000-0008-0000-0C00-00000F000000}"/>
            </a:ext>
          </a:extLst>
        </xdr:cNvPr>
        <xdr:cNvSpPr txBox="1"/>
      </xdr:nvSpPr>
      <xdr:spPr>
        <a:xfrm>
          <a:off x="1317625" y="273780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62</xdr:row>
      <xdr:rowOff>269875</xdr:rowOff>
    </xdr:from>
    <xdr:to>
      <xdr:col>2</xdr:col>
      <xdr:colOff>1762125</xdr:colOff>
      <xdr:row>63</xdr:row>
      <xdr:rowOff>0</xdr:rowOff>
    </xdr:to>
    <xdr:sp macro="" textlink="">
      <xdr:nvSpPr>
        <xdr:cNvPr id="18" name="テキスト ボックス 17">
          <a:extLst>
            <a:ext uri="{FF2B5EF4-FFF2-40B4-BE49-F238E27FC236}">
              <a16:creationId xmlns:a16="http://schemas.microsoft.com/office/drawing/2014/main" id="{00000000-0008-0000-0C00-000012000000}"/>
            </a:ext>
          </a:extLst>
        </xdr:cNvPr>
        <xdr:cNvSpPr txBox="1"/>
      </xdr:nvSpPr>
      <xdr:spPr>
        <a:xfrm>
          <a:off x="1317625" y="169957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62</xdr:row>
      <xdr:rowOff>269875</xdr:rowOff>
    </xdr:from>
    <xdr:to>
      <xdr:col>2</xdr:col>
      <xdr:colOff>1762125</xdr:colOff>
      <xdr:row>63</xdr:row>
      <xdr:rowOff>0</xdr:rowOff>
    </xdr:to>
    <xdr:sp macro="" textlink="">
      <xdr:nvSpPr>
        <xdr:cNvPr id="19" name="テキスト ボックス 18">
          <a:extLst>
            <a:ext uri="{FF2B5EF4-FFF2-40B4-BE49-F238E27FC236}">
              <a16:creationId xmlns:a16="http://schemas.microsoft.com/office/drawing/2014/main" id="{00000000-0008-0000-0C00-000013000000}"/>
            </a:ext>
          </a:extLst>
        </xdr:cNvPr>
        <xdr:cNvSpPr txBox="1"/>
      </xdr:nvSpPr>
      <xdr:spPr>
        <a:xfrm>
          <a:off x="1317625" y="169957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69</xdr:row>
      <xdr:rowOff>269875</xdr:rowOff>
    </xdr:from>
    <xdr:to>
      <xdr:col>2</xdr:col>
      <xdr:colOff>1762125</xdr:colOff>
      <xdr:row>70</xdr:row>
      <xdr:rowOff>0</xdr:rowOff>
    </xdr:to>
    <xdr:sp macro="" textlink="">
      <xdr:nvSpPr>
        <xdr:cNvPr id="22" name="テキスト ボックス 21">
          <a:extLst>
            <a:ext uri="{FF2B5EF4-FFF2-40B4-BE49-F238E27FC236}">
              <a16:creationId xmlns:a16="http://schemas.microsoft.com/office/drawing/2014/main" id="{00000000-0008-0000-0C00-000016000000}"/>
            </a:ext>
          </a:extLst>
        </xdr:cNvPr>
        <xdr:cNvSpPr txBox="1"/>
      </xdr:nvSpPr>
      <xdr:spPr>
        <a:xfrm>
          <a:off x="1317625" y="190722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69</xdr:row>
      <xdr:rowOff>269875</xdr:rowOff>
    </xdr:from>
    <xdr:to>
      <xdr:col>2</xdr:col>
      <xdr:colOff>1762125</xdr:colOff>
      <xdr:row>70</xdr:row>
      <xdr:rowOff>0</xdr:rowOff>
    </xdr:to>
    <xdr:sp macro="" textlink="">
      <xdr:nvSpPr>
        <xdr:cNvPr id="23" name="テキスト ボックス 22">
          <a:extLst>
            <a:ext uri="{FF2B5EF4-FFF2-40B4-BE49-F238E27FC236}">
              <a16:creationId xmlns:a16="http://schemas.microsoft.com/office/drawing/2014/main" id="{00000000-0008-0000-0C00-000017000000}"/>
            </a:ext>
          </a:extLst>
        </xdr:cNvPr>
        <xdr:cNvSpPr txBox="1"/>
      </xdr:nvSpPr>
      <xdr:spPr>
        <a:xfrm>
          <a:off x="1317625" y="190722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69</xdr:row>
      <xdr:rowOff>269875</xdr:rowOff>
    </xdr:from>
    <xdr:to>
      <xdr:col>2</xdr:col>
      <xdr:colOff>1762125</xdr:colOff>
      <xdr:row>70</xdr:row>
      <xdr:rowOff>0</xdr:rowOff>
    </xdr:to>
    <xdr:sp macro="" textlink="">
      <xdr:nvSpPr>
        <xdr:cNvPr id="24" name="テキスト ボックス 23">
          <a:extLst>
            <a:ext uri="{FF2B5EF4-FFF2-40B4-BE49-F238E27FC236}">
              <a16:creationId xmlns:a16="http://schemas.microsoft.com/office/drawing/2014/main" id="{00000000-0008-0000-0C00-000018000000}"/>
            </a:ext>
          </a:extLst>
        </xdr:cNvPr>
        <xdr:cNvSpPr txBox="1"/>
      </xdr:nvSpPr>
      <xdr:spPr>
        <a:xfrm>
          <a:off x="1317625" y="190722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69</xdr:row>
      <xdr:rowOff>269875</xdr:rowOff>
    </xdr:from>
    <xdr:to>
      <xdr:col>2</xdr:col>
      <xdr:colOff>1762125</xdr:colOff>
      <xdr:row>70</xdr:row>
      <xdr:rowOff>0</xdr:rowOff>
    </xdr:to>
    <xdr:sp macro="" textlink="">
      <xdr:nvSpPr>
        <xdr:cNvPr id="25" name="テキスト ボックス 24">
          <a:extLst>
            <a:ext uri="{FF2B5EF4-FFF2-40B4-BE49-F238E27FC236}">
              <a16:creationId xmlns:a16="http://schemas.microsoft.com/office/drawing/2014/main" id="{00000000-0008-0000-0C00-000019000000}"/>
            </a:ext>
          </a:extLst>
        </xdr:cNvPr>
        <xdr:cNvSpPr txBox="1"/>
      </xdr:nvSpPr>
      <xdr:spPr>
        <a:xfrm>
          <a:off x="1317625" y="190722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69</xdr:row>
      <xdr:rowOff>269875</xdr:rowOff>
    </xdr:from>
    <xdr:to>
      <xdr:col>2</xdr:col>
      <xdr:colOff>1762125</xdr:colOff>
      <xdr:row>70</xdr:row>
      <xdr:rowOff>0</xdr:rowOff>
    </xdr:to>
    <xdr:sp macro="" textlink="">
      <xdr:nvSpPr>
        <xdr:cNvPr id="26" name="テキスト ボックス 25">
          <a:extLst>
            <a:ext uri="{FF2B5EF4-FFF2-40B4-BE49-F238E27FC236}">
              <a16:creationId xmlns:a16="http://schemas.microsoft.com/office/drawing/2014/main" id="{00000000-0008-0000-0C00-00001A000000}"/>
            </a:ext>
          </a:extLst>
        </xdr:cNvPr>
        <xdr:cNvSpPr txBox="1"/>
      </xdr:nvSpPr>
      <xdr:spPr>
        <a:xfrm>
          <a:off x="1317625" y="190722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69</xdr:row>
      <xdr:rowOff>269875</xdr:rowOff>
    </xdr:from>
    <xdr:to>
      <xdr:col>2</xdr:col>
      <xdr:colOff>1762125</xdr:colOff>
      <xdr:row>70</xdr:row>
      <xdr:rowOff>0</xdr:rowOff>
    </xdr:to>
    <xdr:sp macro="" textlink="">
      <xdr:nvSpPr>
        <xdr:cNvPr id="27" name="テキスト ボックス 26">
          <a:extLst>
            <a:ext uri="{FF2B5EF4-FFF2-40B4-BE49-F238E27FC236}">
              <a16:creationId xmlns:a16="http://schemas.microsoft.com/office/drawing/2014/main" id="{00000000-0008-0000-0C00-00001B000000}"/>
            </a:ext>
          </a:extLst>
        </xdr:cNvPr>
        <xdr:cNvSpPr txBox="1"/>
      </xdr:nvSpPr>
      <xdr:spPr>
        <a:xfrm>
          <a:off x="1317625" y="190722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28" name="テキスト ボックス 27">
          <a:extLst>
            <a:ext uri="{FF2B5EF4-FFF2-40B4-BE49-F238E27FC236}">
              <a16:creationId xmlns:a16="http://schemas.microsoft.com/office/drawing/2014/main" id="{00000000-0008-0000-0C00-00001C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29" name="テキスト ボックス 28">
          <a:extLst>
            <a:ext uri="{FF2B5EF4-FFF2-40B4-BE49-F238E27FC236}">
              <a16:creationId xmlns:a16="http://schemas.microsoft.com/office/drawing/2014/main" id="{00000000-0008-0000-0C00-00001D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30" name="テキスト ボックス 29">
          <a:extLst>
            <a:ext uri="{FF2B5EF4-FFF2-40B4-BE49-F238E27FC236}">
              <a16:creationId xmlns:a16="http://schemas.microsoft.com/office/drawing/2014/main" id="{00000000-0008-0000-0C00-00001E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31" name="テキスト ボックス 30">
          <a:extLst>
            <a:ext uri="{FF2B5EF4-FFF2-40B4-BE49-F238E27FC236}">
              <a16:creationId xmlns:a16="http://schemas.microsoft.com/office/drawing/2014/main" id="{00000000-0008-0000-0C00-00001F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32" name="テキスト ボックス 31">
          <a:extLst>
            <a:ext uri="{FF2B5EF4-FFF2-40B4-BE49-F238E27FC236}">
              <a16:creationId xmlns:a16="http://schemas.microsoft.com/office/drawing/2014/main" id="{00000000-0008-0000-0C00-000020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33" name="テキスト ボックス 32">
          <a:extLst>
            <a:ext uri="{FF2B5EF4-FFF2-40B4-BE49-F238E27FC236}">
              <a16:creationId xmlns:a16="http://schemas.microsoft.com/office/drawing/2014/main" id="{00000000-0008-0000-0C00-000021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34" name="テキスト ボックス 33">
          <a:extLst>
            <a:ext uri="{FF2B5EF4-FFF2-40B4-BE49-F238E27FC236}">
              <a16:creationId xmlns:a16="http://schemas.microsoft.com/office/drawing/2014/main" id="{00000000-0008-0000-0C00-000022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35" name="テキスト ボックス 34">
          <a:extLst>
            <a:ext uri="{FF2B5EF4-FFF2-40B4-BE49-F238E27FC236}">
              <a16:creationId xmlns:a16="http://schemas.microsoft.com/office/drawing/2014/main" id="{00000000-0008-0000-0C00-000023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36" name="テキスト ボックス 35">
          <a:extLst>
            <a:ext uri="{FF2B5EF4-FFF2-40B4-BE49-F238E27FC236}">
              <a16:creationId xmlns:a16="http://schemas.microsoft.com/office/drawing/2014/main" id="{00000000-0008-0000-0C00-000024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37" name="テキスト ボックス 36">
          <a:extLst>
            <a:ext uri="{FF2B5EF4-FFF2-40B4-BE49-F238E27FC236}">
              <a16:creationId xmlns:a16="http://schemas.microsoft.com/office/drawing/2014/main" id="{00000000-0008-0000-0C00-000025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38" name="テキスト ボックス 37">
          <a:extLst>
            <a:ext uri="{FF2B5EF4-FFF2-40B4-BE49-F238E27FC236}">
              <a16:creationId xmlns:a16="http://schemas.microsoft.com/office/drawing/2014/main" id="{00000000-0008-0000-0C00-000026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39" name="テキスト ボックス 38">
          <a:extLst>
            <a:ext uri="{FF2B5EF4-FFF2-40B4-BE49-F238E27FC236}">
              <a16:creationId xmlns:a16="http://schemas.microsoft.com/office/drawing/2014/main" id="{00000000-0008-0000-0C00-000027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40" name="テキスト ボックス 39">
          <a:extLst>
            <a:ext uri="{FF2B5EF4-FFF2-40B4-BE49-F238E27FC236}">
              <a16:creationId xmlns:a16="http://schemas.microsoft.com/office/drawing/2014/main" id="{00000000-0008-0000-0C00-000028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41" name="テキスト ボックス 40">
          <a:extLst>
            <a:ext uri="{FF2B5EF4-FFF2-40B4-BE49-F238E27FC236}">
              <a16:creationId xmlns:a16="http://schemas.microsoft.com/office/drawing/2014/main" id="{00000000-0008-0000-0C00-000029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42" name="テキスト ボックス 41">
          <a:extLst>
            <a:ext uri="{FF2B5EF4-FFF2-40B4-BE49-F238E27FC236}">
              <a16:creationId xmlns:a16="http://schemas.microsoft.com/office/drawing/2014/main" id="{00000000-0008-0000-0C00-00002A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43" name="テキスト ボックス 42">
          <a:extLst>
            <a:ext uri="{FF2B5EF4-FFF2-40B4-BE49-F238E27FC236}">
              <a16:creationId xmlns:a16="http://schemas.microsoft.com/office/drawing/2014/main" id="{00000000-0008-0000-0C00-00002B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44" name="テキスト ボックス 43">
          <a:extLst>
            <a:ext uri="{FF2B5EF4-FFF2-40B4-BE49-F238E27FC236}">
              <a16:creationId xmlns:a16="http://schemas.microsoft.com/office/drawing/2014/main" id="{00000000-0008-0000-0C00-00002C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45" name="テキスト ボックス 44">
          <a:extLst>
            <a:ext uri="{FF2B5EF4-FFF2-40B4-BE49-F238E27FC236}">
              <a16:creationId xmlns:a16="http://schemas.microsoft.com/office/drawing/2014/main" id="{00000000-0008-0000-0C00-00002D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46" name="テキスト ボックス 45">
          <a:extLst>
            <a:ext uri="{FF2B5EF4-FFF2-40B4-BE49-F238E27FC236}">
              <a16:creationId xmlns:a16="http://schemas.microsoft.com/office/drawing/2014/main" id="{00000000-0008-0000-0C00-00002E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47" name="テキスト ボックス 46">
          <a:extLst>
            <a:ext uri="{FF2B5EF4-FFF2-40B4-BE49-F238E27FC236}">
              <a16:creationId xmlns:a16="http://schemas.microsoft.com/office/drawing/2014/main" id="{00000000-0008-0000-0C00-00002F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48" name="テキスト ボックス 47">
          <a:extLst>
            <a:ext uri="{FF2B5EF4-FFF2-40B4-BE49-F238E27FC236}">
              <a16:creationId xmlns:a16="http://schemas.microsoft.com/office/drawing/2014/main" id="{00000000-0008-0000-0C00-000030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49" name="テキスト ボックス 48">
          <a:extLst>
            <a:ext uri="{FF2B5EF4-FFF2-40B4-BE49-F238E27FC236}">
              <a16:creationId xmlns:a16="http://schemas.microsoft.com/office/drawing/2014/main" id="{00000000-0008-0000-0C00-000031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50" name="テキスト ボックス 49">
          <a:extLst>
            <a:ext uri="{FF2B5EF4-FFF2-40B4-BE49-F238E27FC236}">
              <a16:creationId xmlns:a16="http://schemas.microsoft.com/office/drawing/2014/main" id="{00000000-0008-0000-0C00-000032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51" name="テキスト ボックス 50">
          <a:extLst>
            <a:ext uri="{FF2B5EF4-FFF2-40B4-BE49-F238E27FC236}">
              <a16:creationId xmlns:a16="http://schemas.microsoft.com/office/drawing/2014/main" id="{00000000-0008-0000-0C00-000033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52" name="テキスト ボックス 51">
          <a:extLst>
            <a:ext uri="{FF2B5EF4-FFF2-40B4-BE49-F238E27FC236}">
              <a16:creationId xmlns:a16="http://schemas.microsoft.com/office/drawing/2014/main" id="{00000000-0008-0000-0C00-000034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53" name="テキスト ボックス 52">
          <a:extLst>
            <a:ext uri="{FF2B5EF4-FFF2-40B4-BE49-F238E27FC236}">
              <a16:creationId xmlns:a16="http://schemas.microsoft.com/office/drawing/2014/main" id="{00000000-0008-0000-0C00-000035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54" name="テキスト ボックス 53">
          <a:extLst>
            <a:ext uri="{FF2B5EF4-FFF2-40B4-BE49-F238E27FC236}">
              <a16:creationId xmlns:a16="http://schemas.microsoft.com/office/drawing/2014/main" id="{00000000-0008-0000-0C00-000036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55" name="テキスト ボックス 54">
          <a:extLst>
            <a:ext uri="{FF2B5EF4-FFF2-40B4-BE49-F238E27FC236}">
              <a16:creationId xmlns:a16="http://schemas.microsoft.com/office/drawing/2014/main" id="{00000000-0008-0000-0C00-000037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56" name="テキスト ボックス 55">
          <a:extLst>
            <a:ext uri="{FF2B5EF4-FFF2-40B4-BE49-F238E27FC236}">
              <a16:creationId xmlns:a16="http://schemas.microsoft.com/office/drawing/2014/main" id="{00000000-0008-0000-0C00-000038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57" name="テキスト ボックス 56">
          <a:extLst>
            <a:ext uri="{FF2B5EF4-FFF2-40B4-BE49-F238E27FC236}">
              <a16:creationId xmlns:a16="http://schemas.microsoft.com/office/drawing/2014/main" id="{00000000-0008-0000-0C00-000039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2</xdr:col>
      <xdr:colOff>390524</xdr:colOff>
      <xdr:row>0</xdr:row>
      <xdr:rowOff>66675</xdr:rowOff>
    </xdr:from>
    <xdr:to>
      <xdr:col>6</xdr:col>
      <xdr:colOff>1771650</xdr:colOff>
      <xdr:row>0</xdr:row>
      <xdr:rowOff>400050</xdr:rowOff>
    </xdr:to>
    <xdr:sp macro="" textlink="">
      <xdr:nvSpPr>
        <xdr:cNvPr id="58" name="テキスト ボックス 57">
          <a:extLst>
            <a:ext uri="{FF2B5EF4-FFF2-40B4-BE49-F238E27FC236}">
              <a16:creationId xmlns:a16="http://schemas.microsoft.com/office/drawing/2014/main" id="{00000000-0008-0000-0C00-00003A000000}"/>
            </a:ext>
          </a:extLst>
        </xdr:cNvPr>
        <xdr:cNvSpPr txBox="1"/>
      </xdr:nvSpPr>
      <xdr:spPr>
        <a:xfrm>
          <a:off x="1228724" y="66675"/>
          <a:ext cx="5124451"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latin typeface="Meiryo UI" panose="020B0604030504040204" pitchFamily="50" charset="-128"/>
              <a:ea typeface="Meiryo UI" panose="020B0604030504040204" pitchFamily="50" charset="-128"/>
              <a:cs typeface="Microsoft GothicNeo" panose="020B0500000101010101" pitchFamily="34" charset="-127"/>
            </a:rPr>
            <a:t>（戸籍等取得に必要な情報となります。わかる範囲でご記入をお願いいたします）</a:t>
          </a:r>
        </a:p>
      </xdr:txBody>
    </xdr:sp>
    <xdr:clientData/>
  </xdr:twoCellAnchor>
  <xdr:twoCellAnchor>
    <xdr:from>
      <xdr:col>2</xdr:col>
      <xdr:colOff>2286802</xdr:colOff>
      <xdr:row>4</xdr:row>
      <xdr:rowOff>219314</xdr:rowOff>
    </xdr:from>
    <xdr:to>
      <xdr:col>3</xdr:col>
      <xdr:colOff>0</xdr:colOff>
      <xdr:row>6</xdr:row>
      <xdr:rowOff>0</xdr:rowOff>
    </xdr:to>
    <xdr:sp macro="" textlink="">
      <xdr:nvSpPr>
        <xdr:cNvPr id="2" name="テキスト ボックス 1">
          <a:extLst>
            <a:ext uri="{FF2B5EF4-FFF2-40B4-BE49-F238E27FC236}">
              <a16:creationId xmlns:a16="http://schemas.microsoft.com/office/drawing/2014/main" id="{87D3B1F1-ABB0-4FD8-8662-B0FE56562D95}"/>
            </a:ext>
          </a:extLst>
        </xdr:cNvPr>
        <xdr:cNvSpPr txBox="1"/>
      </xdr:nvSpPr>
      <xdr:spPr>
        <a:xfrm>
          <a:off x="3127243" y="1463167"/>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13</xdr:row>
      <xdr:rowOff>1</xdr:rowOff>
    </xdr:from>
    <xdr:to>
      <xdr:col>3</xdr:col>
      <xdr:colOff>0</xdr:colOff>
      <xdr:row>15</xdr:row>
      <xdr:rowOff>1</xdr:rowOff>
    </xdr:to>
    <xdr:sp macro="" textlink="">
      <xdr:nvSpPr>
        <xdr:cNvPr id="3" name="テキスト ボックス 2">
          <a:extLst>
            <a:ext uri="{FF2B5EF4-FFF2-40B4-BE49-F238E27FC236}">
              <a16:creationId xmlns:a16="http://schemas.microsoft.com/office/drawing/2014/main" id="{721C8B55-26CE-45D1-BDBC-55377A66D100}"/>
            </a:ext>
          </a:extLst>
        </xdr:cNvPr>
        <xdr:cNvSpPr txBox="1"/>
      </xdr:nvSpPr>
      <xdr:spPr>
        <a:xfrm>
          <a:off x="3127243" y="3944472"/>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20</xdr:row>
      <xdr:rowOff>0</xdr:rowOff>
    </xdr:from>
    <xdr:to>
      <xdr:col>3</xdr:col>
      <xdr:colOff>0</xdr:colOff>
      <xdr:row>21</xdr:row>
      <xdr:rowOff>246528</xdr:rowOff>
    </xdr:to>
    <xdr:sp macro="" textlink="">
      <xdr:nvSpPr>
        <xdr:cNvPr id="4" name="テキスト ボックス 3">
          <a:extLst>
            <a:ext uri="{FF2B5EF4-FFF2-40B4-BE49-F238E27FC236}">
              <a16:creationId xmlns:a16="http://schemas.microsoft.com/office/drawing/2014/main" id="{238AB488-11CA-47DC-AC57-6D70731ECD9E}"/>
            </a:ext>
          </a:extLst>
        </xdr:cNvPr>
        <xdr:cNvSpPr txBox="1"/>
      </xdr:nvSpPr>
      <xdr:spPr>
        <a:xfrm>
          <a:off x="3127243" y="5883088"/>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27</xdr:row>
      <xdr:rowOff>0</xdr:rowOff>
    </xdr:from>
    <xdr:to>
      <xdr:col>3</xdr:col>
      <xdr:colOff>0</xdr:colOff>
      <xdr:row>28</xdr:row>
      <xdr:rowOff>246529</xdr:rowOff>
    </xdr:to>
    <xdr:sp macro="" textlink="">
      <xdr:nvSpPr>
        <xdr:cNvPr id="10" name="テキスト ボックス 9">
          <a:extLst>
            <a:ext uri="{FF2B5EF4-FFF2-40B4-BE49-F238E27FC236}">
              <a16:creationId xmlns:a16="http://schemas.microsoft.com/office/drawing/2014/main" id="{ACC60023-7FF9-49B8-9CFB-C48DCAD0E74C}"/>
            </a:ext>
          </a:extLst>
        </xdr:cNvPr>
        <xdr:cNvSpPr txBox="1"/>
      </xdr:nvSpPr>
      <xdr:spPr>
        <a:xfrm>
          <a:off x="3127243" y="7821706"/>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33</xdr:row>
      <xdr:rowOff>0</xdr:rowOff>
    </xdr:from>
    <xdr:to>
      <xdr:col>3</xdr:col>
      <xdr:colOff>0</xdr:colOff>
      <xdr:row>35</xdr:row>
      <xdr:rowOff>0</xdr:rowOff>
    </xdr:to>
    <xdr:sp macro="" textlink="">
      <xdr:nvSpPr>
        <xdr:cNvPr id="16" name="テキスト ボックス 15">
          <a:extLst>
            <a:ext uri="{FF2B5EF4-FFF2-40B4-BE49-F238E27FC236}">
              <a16:creationId xmlns:a16="http://schemas.microsoft.com/office/drawing/2014/main" id="{94917493-B651-46EF-8161-0CAFBFC2ED02}"/>
            </a:ext>
          </a:extLst>
        </xdr:cNvPr>
        <xdr:cNvSpPr txBox="1"/>
      </xdr:nvSpPr>
      <xdr:spPr>
        <a:xfrm>
          <a:off x="3127243" y="9569824"/>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40</xdr:row>
      <xdr:rowOff>0</xdr:rowOff>
    </xdr:from>
    <xdr:to>
      <xdr:col>3</xdr:col>
      <xdr:colOff>0</xdr:colOff>
      <xdr:row>41</xdr:row>
      <xdr:rowOff>246529</xdr:rowOff>
    </xdr:to>
    <xdr:sp macro="" textlink="">
      <xdr:nvSpPr>
        <xdr:cNvPr id="17" name="テキスト ボックス 16">
          <a:extLst>
            <a:ext uri="{FF2B5EF4-FFF2-40B4-BE49-F238E27FC236}">
              <a16:creationId xmlns:a16="http://schemas.microsoft.com/office/drawing/2014/main" id="{FBE20AF4-C0DA-49FE-ADDE-59F311A7E1B2}"/>
            </a:ext>
          </a:extLst>
        </xdr:cNvPr>
        <xdr:cNvSpPr txBox="1"/>
      </xdr:nvSpPr>
      <xdr:spPr>
        <a:xfrm>
          <a:off x="3127243" y="11430000"/>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47</xdr:row>
      <xdr:rowOff>0</xdr:rowOff>
    </xdr:from>
    <xdr:to>
      <xdr:col>3</xdr:col>
      <xdr:colOff>0</xdr:colOff>
      <xdr:row>48</xdr:row>
      <xdr:rowOff>246528</xdr:rowOff>
    </xdr:to>
    <xdr:sp macro="" textlink="">
      <xdr:nvSpPr>
        <xdr:cNvPr id="20" name="テキスト ボックス 19">
          <a:extLst>
            <a:ext uri="{FF2B5EF4-FFF2-40B4-BE49-F238E27FC236}">
              <a16:creationId xmlns:a16="http://schemas.microsoft.com/office/drawing/2014/main" id="{6042EF9A-83B5-44B2-B9BD-54518EBC192B}"/>
            </a:ext>
          </a:extLst>
        </xdr:cNvPr>
        <xdr:cNvSpPr txBox="1"/>
      </xdr:nvSpPr>
      <xdr:spPr>
        <a:xfrm>
          <a:off x="3127243" y="13290176"/>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54</xdr:row>
      <xdr:rowOff>0</xdr:rowOff>
    </xdr:from>
    <xdr:to>
      <xdr:col>3</xdr:col>
      <xdr:colOff>0</xdr:colOff>
      <xdr:row>55</xdr:row>
      <xdr:rowOff>246529</xdr:rowOff>
    </xdr:to>
    <xdr:sp macro="" textlink="">
      <xdr:nvSpPr>
        <xdr:cNvPr id="21" name="テキスト ボックス 20">
          <a:extLst>
            <a:ext uri="{FF2B5EF4-FFF2-40B4-BE49-F238E27FC236}">
              <a16:creationId xmlns:a16="http://schemas.microsoft.com/office/drawing/2014/main" id="{C6020DCF-7A38-4C9E-A59B-D48FB2134C59}"/>
            </a:ext>
          </a:extLst>
        </xdr:cNvPr>
        <xdr:cNvSpPr txBox="1"/>
      </xdr:nvSpPr>
      <xdr:spPr>
        <a:xfrm>
          <a:off x="3127243" y="15150353"/>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61</xdr:row>
      <xdr:rowOff>0</xdr:rowOff>
    </xdr:from>
    <xdr:to>
      <xdr:col>3</xdr:col>
      <xdr:colOff>0</xdr:colOff>
      <xdr:row>62</xdr:row>
      <xdr:rowOff>246528</xdr:rowOff>
    </xdr:to>
    <xdr:sp macro="" textlink="">
      <xdr:nvSpPr>
        <xdr:cNvPr id="59" name="テキスト ボックス 58">
          <a:extLst>
            <a:ext uri="{FF2B5EF4-FFF2-40B4-BE49-F238E27FC236}">
              <a16:creationId xmlns:a16="http://schemas.microsoft.com/office/drawing/2014/main" id="{6106315F-4039-4C30-97DB-5E13B440449A}"/>
            </a:ext>
          </a:extLst>
        </xdr:cNvPr>
        <xdr:cNvSpPr txBox="1"/>
      </xdr:nvSpPr>
      <xdr:spPr>
        <a:xfrm>
          <a:off x="3127243" y="17010529"/>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68</xdr:row>
      <xdr:rowOff>0</xdr:rowOff>
    </xdr:from>
    <xdr:to>
      <xdr:col>3</xdr:col>
      <xdr:colOff>0</xdr:colOff>
      <xdr:row>69</xdr:row>
      <xdr:rowOff>246529</xdr:rowOff>
    </xdr:to>
    <xdr:sp macro="" textlink="">
      <xdr:nvSpPr>
        <xdr:cNvPr id="60" name="テキスト ボックス 59">
          <a:extLst>
            <a:ext uri="{FF2B5EF4-FFF2-40B4-BE49-F238E27FC236}">
              <a16:creationId xmlns:a16="http://schemas.microsoft.com/office/drawing/2014/main" id="{BDA808A5-0793-48B4-83B4-AD6D9F8B94BF}"/>
            </a:ext>
          </a:extLst>
        </xdr:cNvPr>
        <xdr:cNvSpPr txBox="1"/>
      </xdr:nvSpPr>
      <xdr:spPr>
        <a:xfrm>
          <a:off x="3127243" y="18870706"/>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75</xdr:row>
      <xdr:rowOff>0</xdr:rowOff>
    </xdr:from>
    <xdr:to>
      <xdr:col>3</xdr:col>
      <xdr:colOff>0</xdr:colOff>
      <xdr:row>76</xdr:row>
      <xdr:rowOff>246528</xdr:rowOff>
    </xdr:to>
    <xdr:sp macro="" textlink="">
      <xdr:nvSpPr>
        <xdr:cNvPr id="61" name="テキスト ボックス 60">
          <a:extLst>
            <a:ext uri="{FF2B5EF4-FFF2-40B4-BE49-F238E27FC236}">
              <a16:creationId xmlns:a16="http://schemas.microsoft.com/office/drawing/2014/main" id="{5659F555-B234-4814-AD49-608D3EBF97C2}"/>
            </a:ext>
          </a:extLst>
        </xdr:cNvPr>
        <xdr:cNvSpPr txBox="1"/>
      </xdr:nvSpPr>
      <xdr:spPr>
        <a:xfrm>
          <a:off x="3127243" y="20730882"/>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82</xdr:row>
      <xdr:rowOff>0</xdr:rowOff>
    </xdr:from>
    <xdr:to>
      <xdr:col>3</xdr:col>
      <xdr:colOff>0</xdr:colOff>
      <xdr:row>83</xdr:row>
      <xdr:rowOff>246529</xdr:rowOff>
    </xdr:to>
    <xdr:sp macro="" textlink="">
      <xdr:nvSpPr>
        <xdr:cNvPr id="62" name="テキスト ボックス 61">
          <a:extLst>
            <a:ext uri="{FF2B5EF4-FFF2-40B4-BE49-F238E27FC236}">
              <a16:creationId xmlns:a16="http://schemas.microsoft.com/office/drawing/2014/main" id="{D0745CC2-9842-4458-82DC-2E55D734C32D}"/>
            </a:ext>
          </a:extLst>
        </xdr:cNvPr>
        <xdr:cNvSpPr txBox="1"/>
      </xdr:nvSpPr>
      <xdr:spPr>
        <a:xfrm>
          <a:off x="3127243" y="22591059"/>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89</xdr:row>
      <xdr:rowOff>0</xdr:rowOff>
    </xdr:from>
    <xdr:to>
      <xdr:col>3</xdr:col>
      <xdr:colOff>0</xdr:colOff>
      <xdr:row>90</xdr:row>
      <xdr:rowOff>246528</xdr:rowOff>
    </xdr:to>
    <xdr:sp macro="" textlink="">
      <xdr:nvSpPr>
        <xdr:cNvPr id="63" name="テキスト ボックス 62">
          <a:extLst>
            <a:ext uri="{FF2B5EF4-FFF2-40B4-BE49-F238E27FC236}">
              <a16:creationId xmlns:a16="http://schemas.microsoft.com/office/drawing/2014/main" id="{30C3F688-EDDE-42EC-A927-7B41105A9915}"/>
            </a:ext>
          </a:extLst>
        </xdr:cNvPr>
        <xdr:cNvSpPr txBox="1"/>
      </xdr:nvSpPr>
      <xdr:spPr>
        <a:xfrm>
          <a:off x="3127243" y="24451235"/>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981821</xdr:colOff>
      <xdr:row>0</xdr:row>
      <xdr:rowOff>21664</xdr:rowOff>
    </xdr:from>
    <xdr:to>
      <xdr:col>6</xdr:col>
      <xdr:colOff>550021</xdr:colOff>
      <xdr:row>0</xdr:row>
      <xdr:rowOff>297889</xdr:rowOff>
    </xdr:to>
    <xdr:sp macro="" textlink="">
      <xdr:nvSpPr>
        <xdr:cNvPr id="2" name="テキスト ボックス 1">
          <a:extLst>
            <a:ext uri="{FF2B5EF4-FFF2-40B4-BE49-F238E27FC236}">
              <a16:creationId xmlns:a16="http://schemas.microsoft.com/office/drawing/2014/main" id="{00000000-0008-0000-0D00-000002000000}"/>
            </a:ext>
          </a:extLst>
        </xdr:cNvPr>
        <xdr:cNvSpPr txBox="1"/>
      </xdr:nvSpPr>
      <xdr:spPr>
        <a:xfrm>
          <a:off x="1822262" y="21664"/>
          <a:ext cx="332217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latin typeface="Meiryo UI" panose="020B0604030504040204" pitchFamily="50" charset="-128"/>
              <a:ea typeface="Meiryo UI" panose="020B0604030504040204" pitchFamily="50" charset="-128"/>
              <a:cs typeface="Microsoft GothicNeo" panose="020B0500000101010101" pitchFamily="34" charset="-127"/>
            </a:rPr>
            <a:t>（わかる範囲でご記入をお願いいたします）</a:t>
          </a:r>
        </a:p>
      </xdr:txBody>
    </xdr:sp>
    <xdr:clientData/>
  </xdr:twoCellAnchor>
  <xdr:twoCellAnchor>
    <xdr:from>
      <xdr:col>2</xdr:col>
      <xdr:colOff>2299607</xdr:colOff>
      <xdr:row>4</xdr:row>
      <xdr:rowOff>13608</xdr:rowOff>
    </xdr:from>
    <xdr:to>
      <xdr:col>3</xdr:col>
      <xdr:colOff>13606</xdr:colOff>
      <xdr:row>5</xdr:row>
      <xdr:rowOff>299357</xdr:rowOff>
    </xdr:to>
    <xdr:sp macro="" textlink="">
      <xdr:nvSpPr>
        <xdr:cNvPr id="3" name="テキスト ボックス 2">
          <a:extLst>
            <a:ext uri="{FF2B5EF4-FFF2-40B4-BE49-F238E27FC236}">
              <a16:creationId xmlns:a16="http://schemas.microsoft.com/office/drawing/2014/main" id="{46962123-6779-54C5-553E-5822AEC5FEA7}"/>
            </a:ext>
          </a:extLst>
        </xdr:cNvPr>
        <xdr:cNvSpPr txBox="1"/>
      </xdr:nvSpPr>
      <xdr:spPr>
        <a:xfrm>
          <a:off x="3143250" y="1074965"/>
          <a:ext cx="503463"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12</xdr:row>
      <xdr:rowOff>272141</xdr:rowOff>
    </xdr:from>
    <xdr:to>
      <xdr:col>3</xdr:col>
      <xdr:colOff>0</xdr:colOff>
      <xdr:row>15</xdr:row>
      <xdr:rowOff>-1</xdr:rowOff>
    </xdr:to>
    <xdr:sp macro="" textlink="">
      <xdr:nvSpPr>
        <xdr:cNvPr id="4" name="テキスト ボックス 3">
          <a:extLst>
            <a:ext uri="{FF2B5EF4-FFF2-40B4-BE49-F238E27FC236}">
              <a16:creationId xmlns:a16="http://schemas.microsoft.com/office/drawing/2014/main" id="{B4E3A21D-3EE0-48F9-B898-23C847FB1A82}"/>
            </a:ext>
          </a:extLst>
        </xdr:cNvPr>
        <xdr:cNvSpPr txBox="1"/>
      </xdr:nvSpPr>
      <xdr:spPr>
        <a:xfrm>
          <a:off x="3129644" y="3469820"/>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22</xdr:row>
      <xdr:rowOff>0</xdr:rowOff>
    </xdr:from>
    <xdr:to>
      <xdr:col>3</xdr:col>
      <xdr:colOff>0</xdr:colOff>
      <xdr:row>24</xdr:row>
      <xdr:rowOff>0</xdr:rowOff>
    </xdr:to>
    <xdr:sp macro="" textlink="">
      <xdr:nvSpPr>
        <xdr:cNvPr id="5" name="テキスト ボックス 4">
          <a:extLst>
            <a:ext uri="{FF2B5EF4-FFF2-40B4-BE49-F238E27FC236}">
              <a16:creationId xmlns:a16="http://schemas.microsoft.com/office/drawing/2014/main" id="{FECEDC7E-72A6-4B94-8F3A-E39739CE07B7}"/>
            </a:ext>
          </a:extLst>
        </xdr:cNvPr>
        <xdr:cNvSpPr txBox="1"/>
      </xdr:nvSpPr>
      <xdr:spPr>
        <a:xfrm>
          <a:off x="3129644" y="5660571"/>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31</xdr:row>
      <xdr:rowOff>0</xdr:rowOff>
    </xdr:from>
    <xdr:to>
      <xdr:col>3</xdr:col>
      <xdr:colOff>0</xdr:colOff>
      <xdr:row>33</xdr:row>
      <xdr:rowOff>0</xdr:rowOff>
    </xdr:to>
    <xdr:sp macro="" textlink="">
      <xdr:nvSpPr>
        <xdr:cNvPr id="6" name="テキスト ボックス 5">
          <a:extLst>
            <a:ext uri="{FF2B5EF4-FFF2-40B4-BE49-F238E27FC236}">
              <a16:creationId xmlns:a16="http://schemas.microsoft.com/office/drawing/2014/main" id="{9FA48CFC-E67C-4525-9914-B39FD71D3219}"/>
            </a:ext>
          </a:extLst>
        </xdr:cNvPr>
        <xdr:cNvSpPr txBox="1"/>
      </xdr:nvSpPr>
      <xdr:spPr>
        <a:xfrm>
          <a:off x="3129644" y="7851321"/>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39</xdr:row>
      <xdr:rowOff>0</xdr:rowOff>
    </xdr:from>
    <xdr:to>
      <xdr:col>3</xdr:col>
      <xdr:colOff>0</xdr:colOff>
      <xdr:row>41</xdr:row>
      <xdr:rowOff>0</xdr:rowOff>
    </xdr:to>
    <xdr:sp macro="" textlink="">
      <xdr:nvSpPr>
        <xdr:cNvPr id="7" name="テキスト ボックス 6">
          <a:extLst>
            <a:ext uri="{FF2B5EF4-FFF2-40B4-BE49-F238E27FC236}">
              <a16:creationId xmlns:a16="http://schemas.microsoft.com/office/drawing/2014/main" id="{8E8C1D7C-D19A-4DD9-843E-2BF7424FA0B1}"/>
            </a:ext>
          </a:extLst>
        </xdr:cNvPr>
        <xdr:cNvSpPr txBox="1"/>
      </xdr:nvSpPr>
      <xdr:spPr>
        <a:xfrm>
          <a:off x="3129644" y="993321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48</xdr:row>
      <xdr:rowOff>0</xdr:rowOff>
    </xdr:from>
    <xdr:to>
      <xdr:col>3</xdr:col>
      <xdr:colOff>0</xdr:colOff>
      <xdr:row>50</xdr:row>
      <xdr:rowOff>0</xdr:rowOff>
    </xdr:to>
    <xdr:sp macro="" textlink="">
      <xdr:nvSpPr>
        <xdr:cNvPr id="8" name="テキスト ボックス 7">
          <a:extLst>
            <a:ext uri="{FF2B5EF4-FFF2-40B4-BE49-F238E27FC236}">
              <a16:creationId xmlns:a16="http://schemas.microsoft.com/office/drawing/2014/main" id="{77FAD476-25C8-442D-81DE-DFE582EA1637}"/>
            </a:ext>
          </a:extLst>
        </xdr:cNvPr>
        <xdr:cNvSpPr txBox="1"/>
      </xdr:nvSpPr>
      <xdr:spPr>
        <a:xfrm>
          <a:off x="3129644" y="1212396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57</xdr:row>
      <xdr:rowOff>0</xdr:rowOff>
    </xdr:from>
    <xdr:to>
      <xdr:col>3</xdr:col>
      <xdr:colOff>0</xdr:colOff>
      <xdr:row>59</xdr:row>
      <xdr:rowOff>0</xdr:rowOff>
    </xdr:to>
    <xdr:sp macro="" textlink="">
      <xdr:nvSpPr>
        <xdr:cNvPr id="9" name="テキスト ボックス 8">
          <a:extLst>
            <a:ext uri="{FF2B5EF4-FFF2-40B4-BE49-F238E27FC236}">
              <a16:creationId xmlns:a16="http://schemas.microsoft.com/office/drawing/2014/main" id="{8C6C38F5-51DD-4D2D-B7C6-9CB1A3813943}"/>
            </a:ext>
          </a:extLst>
        </xdr:cNvPr>
        <xdr:cNvSpPr txBox="1"/>
      </xdr:nvSpPr>
      <xdr:spPr>
        <a:xfrm>
          <a:off x="3129644" y="1431471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66</xdr:row>
      <xdr:rowOff>0</xdr:rowOff>
    </xdr:from>
    <xdr:to>
      <xdr:col>3</xdr:col>
      <xdr:colOff>0</xdr:colOff>
      <xdr:row>68</xdr:row>
      <xdr:rowOff>0</xdr:rowOff>
    </xdr:to>
    <xdr:sp macro="" textlink="">
      <xdr:nvSpPr>
        <xdr:cNvPr id="10" name="テキスト ボックス 9">
          <a:extLst>
            <a:ext uri="{FF2B5EF4-FFF2-40B4-BE49-F238E27FC236}">
              <a16:creationId xmlns:a16="http://schemas.microsoft.com/office/drawing/2014/main" id="{3142C9E5-87BF-476B-ABF9-99C3DC30A7EA}"/>
            </a:ext>
          </a:extLst>
        </xdr:cNvPr>
        <xdr:cNvSpPr txBox="1"/>
      </xdr:nvSpPr>
      <xdr:spPr>
        <a:xfrm>
          <a:off x="3129644" y="1650546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75</xdr:row>
      <xdr:rowOff>0</xdr:rowOff>
    </xdr:from>
    <xdr:to>
      <xdr:col>3</xdr:col>
      <xdr:colOff>0</xdr:colOff>
      <xdr:row>77</xdr:row>
      <xdr:rowOff>0</xdr:rowOff>
    </xdr:to>
    <xdr:sp macro="" textlink="">
      <xdr:nvSpPr>
        <xdr:cNvPr id="11" name="テキスト ボックス 10">
          <a:extLst>
            <a:ext uri="{FF2B5EF4-FFF2-40B4-BE49-F238E27FC236}">
              <a16:creationId xmlns:a16="http://schemas.microsoft.com/office/drawing/2014/main" id="{2E520D61-3F77-41C1-A23B-041156158D4C}"/>
            </a:ext>
          </a:extLst>
        </xdr:cNvPr>
        <xdr:cNvSpPr txBox="1"/>
      </xdr:nvSpPr>
      <xdr:spPr>
        <a:xfrm>
          <a:off x="3129644" y="1869621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84</xdr:row>
      <xdr:rowOff>0</xdr:rowOff>
    </xdr:from>
    <xdr:to>
      <xdr:col>3</xdr:col>
      <xdr:colOff>0</xdr:colOff>
      <xdr:row>86</xdr:row>
      <xdr:rowOff>0</xdr:rowOff>
    </xdr:to>
    <xdr:sp macro="" textlink="">
      <xdr:nvSpPr>
        <xdr:cNvPr id="12" name="テキスト ボックス 11">
          <a:extLst>
            <a:ext uri="{FF2B5EF4-FFF2-40B4-BE49-F238E27FC236}">
              <a16:creationId xmlns:a16="http://schemas.microsoft.com/office/drawing/2014/main" id="{F38F7A50-52ED-4F28-A3B6-19DCC0DAF3EE}"/>
            </a:ext>
          </a:extLst>
        </xdr:cNvPr>
        <xdr:cNvSpPr txBox="1"/>
      </xdr:nvSpPr>
      <xdr:spPr>
        <a:xfrm>
          <a:off x="3129644" y="2088696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93</xdr:row>
      <xdr:rowOff>0</xdr:rowOff>
    </xdr:from>
    <xdr:to>
      <xdr:col>3</xdr:col>
      <xdr:colOff>0</xdr:colOff>
      <xdr:row>95</xdr:row>
      <xdr:rowOff>0</xdr:rowOff>
    </xdr:to>
    <xdr:sp macro="" textlink="">
      <xdr:nvSpPr>
        <xdr:cNvPr id="13" name="テキスト ボックス 12">
          <a:extLst>
            <a:ext uri="{FF2B5EF4-FFF2-40B4-BE49-F238E27FC236}">
              <a16:creationId xmlns:a16="http://schemas.microsoft.com/office/drawing/2014/main" id="{8779972F-4FC8-40AC-BE0F-0B5AF5662481}"/>
            </a:ext>
          </a:extLst>
        </xdr:cNvPr>
        <xdr:cNvSpPr txBox="1"/>
      </xdr:nvSpPr>
      <xdr:spPr>
        <a:xfrm>
          <a:off x="3129644" y="2307771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102</xdr:row>
      <xdr:rowOff>0</xdr:rowOff>
    </xdr:from>
    <xdr:to>
      <xdr:col>3</xdr:col>
      <xdr:colOff>0</xdr:colOff>
      <xdr:row>104</xdr:row>
      <xdr:rowOff>0</xdr:rowOff>
    </xdr:to>
    <xdr:sp macro="" textlink="">
      <xdr:nvSpPr>
        <xdr:cNvPr id="14" name="テキスト ボックス 13">
          <a:extLst>
            <a:ext uri="{FF2B5EF4-FFF2-40B4-BE49-F238E27FC236}">
              <a16:creationId xmlns:a16="http://schemas.microsoft.com/office/drawing/2014/main" id="{03E5004C-942D-4036-9279-F5942DD1ADA7}"/>
            </a:ext>
          </a:extLst>
        </xdr:cNvPr>
        <xdr:cNvSpPr txBox="1"/>
      </xdr:nvSpPr>
      <xdr:spPr>
        <a:xfrm>
          <a:off x="3129644" y="2526846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111</xdr:row>
      <xdr:rowOff>0</xdr:rowOff>
    </xdr:from>
    <xdr:to>
      <xdr:col>3</xdr:col>
      <xdr:colOff>0</xdr:colOff>
      <xdr:row>113</xdr:row>
      <xdr:rowOff>0</xdr:rowOff>
    </xdr:to>
    <xdr:sp macro="" textlink="">
      <xdr:nvSpPr>
        <xdr:cNvPr id="15" name="テキスト ボックス 14">
          <a:extLst>
            <a:ext uri="{FF2B5EF4-FFF2-40B4-BE49-F238E27FC236}">
              <a16:creationId xmlns:a16="http://schemas.microsoft.com/office/drawing/2014/main" id="{1CE611BA-B854-4009-A976-F08C328345C9}"/>
            </a:ext>
          </a:extLst>
        </xdr:cNvPr>
        <xdr:cNvSpPr txBox="1"/>
      </xdr:nvSpPr>
      <xdr:spPr>
        <a:xfrm>
          <a:off x="3129644" y="2745921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61</xdr:colOff>
      <xdr:row>14</xdr:row>
      <xdr:rowOff>27516</xdr:rowOff>
    </xdr:from>
    <xdr:to>
      <xdr:col>1</xdr:col>
      <xdr:colOff>222250</xdr:colOff>
      <xdr:row>22</xdr:row>
      <xdr:rowOff>181571</xdr:rowOff>
    </xdr:to>
    <xdr:grpSp>
      <xdr:nvGrpSpPr>
        <xdr:cNvPr id="2" name="グループ化 1">
          <a:extLst>
            <a:ext uri="{FF2B5EF4-FFF2-40B4-BE49-F238E27FC236}">
              <a16:creationId xmlns:a16="http://schemas.microsoft.com/office/drawing/2014/main" id="{00000000-0008-0000-0A00-000002000000}"/>
            </a:ext>
          </a:extLst>
        </xdr:cNvPr>
        <xdr:cNvGrpSpPr/>
      </xdr:nvGrpSpPr>
      <xdr:grpSpPr>
        <a:xfrm>
          <a:off x="447736" y="3561291"/>
          <a:ext cx="222189" cy="2135255"/>
          <a:chOff x="1194109" y="3066173"/>
          <a:chExt cx="85391" cy="1540852"/>
        </a:xfrm>
      </xdr:grpSpPr>
      <xdr:sp macro="" textlink="">
        <xdr:nvSpPr>
          <xdr:cNvPr id="3" name="次の値と等しい 2">
            <a:extLst>
              <a:ext uri="{FF2B5EF4-FFF2-40B4-BE49-F238E27FC236}">
                <a16:creationId xmlns:a16="http://schemas.microsoft.com/office/drawing/2014/main" id="{00000000-0008-0000-0A00-000003000000}"/>
              </a:ext>
            </a:extLst>
          </xdr:cNvPr>
          <xdr:cNvSpPr/>
        </xdr:nvSpPr>
        <xdr:spPr>
          <a:xfrm rot="5400000">
            <a:off x="1154071" y="3106211"/>
            <a:ext cx="165466" cy="85389"/>
          </a:xfrm>
          <a:prstGeom prst="mathEqual">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4" name="加算記号 3">
            <a:extLst>
              <a:ext uri="{FF2B5EF4-FFF2-40B4-BE49-F238E27FC236}">
                <a16:creationId xmlns:a16="http://schemas.microsoft.com/office/drawing/2014/main" id="{00000000-0008-0000-0A00-000004000000}"/>
              </a:ext>
            </a:extLst>
          </xdr:cNvPr>
          <xdr:cNvSpPr/>
        </xdr:nvSpPr>
        <xdr:spPr>
          <a:xfrm>
            <a:off x="1194111" y="4441559"/>
            <a:ext cx="85389" cy="165466"/>
          </a:xfrm>
          <a:prstGeom prst="mathPlus">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571500</xdr:colOff>
      <xdr:row>12</xdr:row>
      <xdr:rowOff>114293</xdr:rowOff>
    </xdr:from>
    <xdr:to>
      <xdr:col>1</xdr:col>
      <xdr:colOff>104776</xdr:colOff>
      <xdr:row>18</xdr:row>
      <xdr:rowOff>135007</xdr:rowOff>
    </xdr:to>
    <xdr:grpSp>
      <xdr:nvGrpSpPr>
        <xdr:cNvPr id="2" name="グループ化 1">
          <a:extLst>
            <a:ext uri="{FF2B5EF4-FFF2-40B4-BE49-F238E27FC236}">
              <a16:creationId xmlns:a16="http://schemas.microsoft.com/office/drawing/2014/main" id="{00000000-0008-0000-0B00-000002000000}"/>
            </a:ext>
          </a:extLst>
        </xdr:cNvPr>
        <xdr:cNvGrpSpPr/>
      </xdr:nvGrpSpPr>
      <xdr:grpSpPr>
        <a:xfrm>
          <a:off x="571500" y="4210043"/>
          <a:ext cx="215901" cy="1544714"/>
          <a:chOff x="1194109" y="3026676"/>
          <a:chExt cx="85391" cy="1326739"/>
        </a:xfrm>
      </xdr:grpSpPr>
      <xdr:sp macro="" textlink="">
        <xdr:nvSpPr>
          <xdr:cNvPr id="3" name="次の値と等しい 2">
            <a:extLst>
              <a:ext uri="{FF2B5EF4-FFF2-40B4-BE49-F238E27FC236}">
                <a16:creationId xmlns:a16="http://schemas.microsoft.com/office/drawing/2014/main" id="{00000000-0008-0000-0B00-000003000000}"/>
              </a:ext>
            </a:extLst>
          </xdr:cNvPr>
          <xdr:cNvSpPr/>
        </xdr:nvSpPr>
        <xdr:spPr>
          <a:xfrm rot="5400000">
            <a:off x="1154071" y="3066714"/>
            <a:ext cx="165466" cy="85389"/>
          </a:xfrm>
          <a:prstGeom prst="mathEqual">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4" name="加算記号 3">
            <a:extLst>
              <a:ext uri="{FF2B5EF4-FFF2-40B4-BE49-F238E27FC236}">
                <a16:creationId xmlns:a16="http://schemas.microsoft.com/office/drawing/2014/main" id="{00000000-0008-0000-0B00-000004000000}"/>
              </a:ext>
            </a:extLst>
          </xdr:cNvPr>
          <xdr:cNvSpPr/>
        </xdr:nvSpPr>
        <xdr:spPr>
          <a:xfrm>
            <a:off x="1194111" y="4187949"/>
            <a:ext cx="85389" cy="165466"/>
          </a:xfrm>
          <a:prstGeom prst="mathPlus">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6</xdr:col>
      <xdr:colOff>428625</xdr:colOff>
      <xdr:row>9</xdr:row>
      <xdr:rowOff>238125</xdr:rowOff>
    </xdr:from>
    <xdr:to>
      <xdr:col>8</xdr:col>
      <xdr:colOff>523875</xdr:colOff>
      <xdr:row>11</xdr:row>
      <xdr:rowOff>95250</xdr:rowOff>
    </xdr:to>
    <xdr:sp macro="" textlink="">
      <xdr:nvSpPr>
        <xdr:cNvPr id="5" name="テキスト ボックス 4">
          <a:extLst>
            <a:ext uri="{FF2B5EF4-FFF2-40B4-BE49-F238E27FC236}">
              <a16:creationId xmlns:a16="http://schemas.microsoft.com/office/drawing/2014/main" id="{00000000-0008-0000-0B00-000005000000}"/>
            </a:ext>
          </a:extLst>
        </xdr:cNvPr>
        <xdr:cNvSpPr txBox="1"/>
      </xdr:nvSpPr>
      <xdr:spPr>
        <a:xfrm>
          <a:off x="4257675" y="2609850"/>
          <a:ext cx="14859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latin typeface="+mn-ea"/>
              <a:ea typeface="+mn-ea"/>
            </a:rPr>
            <a:t>1</a:t>
          </a:r>
          <a:r>
            <a:rPr kumimoji="1" lang="ja-JP" altLang="en-US" sz="1100" b="1">
              <a:latin typeface="+mn-ea"/>
              <a:ea typeface="+mn-ea"/>
            </a:rPr>
            <a:t>回目</a:t>
          </a:r>
        </a:p>
      </xdr:txBody>
    </xdr:sp>
    <xdr:clientData/>
  </xdr:twoCellAnchor>
  <xdr:twoCellAnchor>
    <xdr:from>
      <xdr:col>4</xdr:col>
      <xdr:colOff>123825</xdr:colOff>
      <xdr:row>11</xdr:row>
      <xdr:rowOff>1</xdr:rowOff>
    </xdr:from>
    <xdr:to>
      <xdr:col>9</xdr:col>
      <xdr:colOff>619126</xdr:colOff>
      <xdr:row>12</xdr:row>
      <xdr:rowOff>180976</xdr:rowOff>
    </xdr:to>
    <xdr:sp macro="" textlink="">
      <xdr:nvSpPr>
        <xdr:cNvPr id="6" name="テキスト ボックス 5">
          <a:extLst>
            <a:ext uri="{FF2B5EF4-FFF2-40B4-BE49-F238E27FC236}">
              <a16:creationId xmlns:a16="http://schemas.microsoft.com/office/drawing/2014/main" id="{00000000-0008-0000-0B00-000006000000}"/>
            </a:ext>
          </a:extLst>
        </xdr:cNvPr>
        <xdr:cNvSpPr txBox="1"/>
      </xdr:nvSpPr>
      <xdr:spPr>
        <a:xfrm>
          <a:off x="2562225" y="2847976"/>
          <a:ext cx="3971926"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t>ご契約時に、</a:t>
          </a:r>
          <a:r>
            <a:rPr kumimoji="1" lang="ja-JP" altLang="en-US" sz="1100" b="1"/>
            <a:t>基本報酬の半金</a:t>
          </a:r>
          <a:r>
            <a:rPr kumimoji="1" lang="ja-JP" altLang="en-US" sz="1100" b="0"/>
            <a:t>を</a:t>
          </a:r>
          <a:r>
            <a:rPr kumimoji="1" lang="ja-JP" altLang="en-US" sz="1100" b="1">
              <a:solidFill>
                <a:schemeClr val="accent1">
                  <a:lumMod val="75000"/>
                </a:schemeClr>
              </a:solidFill>
            </a:rPr>
            <a:t>着手金</a:t>
          </a:r>
          <a:r>
            <a:rPr kumimoji="1" lang="ja-JP" altLang="en-US" sz="1100" b="0"/>
            <a:t>としてご請求します。</a:t>
          </a:r>
        </a:p>
      </xdr:txBody>
    </xdr:sp>
    <xdr:clientData/>
  </xdr:twoCellAnchor>
  <xdr:twoCellAnchor>
    <xdr:from>
      <xdr:col>0</xdr:col>
      <xdr:colOff>133350</xdr:colOff>
      <xdr:row>10</xdr:row>
      <xdr:rowOff>104775</xdr:rowOff>
    </xdr:from>
    <xdr:to>
      <xdr:col>2</xdr:col>
      <xdr:colOff>247650</xdr:colOff>
      <xdr:row>11</xdr:row>
      <xdr:rowOff>228600</xdr:rowOff>
    </xdr:to>
    <xdr:sp macro="" textlink="">
      <xdr:nvSpPr>
        <xdr:cNvPr id="7" name="テキスト ボックス 6">
          <a:extLst>
            <a:ext uri="{FF2B5EF4-FFF2-40B4-BE49-F238E27FC236}">
              <a16:creationId xmlns:a16="http://schemas.microsoft.com/office/drawing/2014/main" id="{00000000-0008-0000-0B00-000007000000}"/>
            </a:ext>
          </a:extLst>
        </xdr:cNvPr>
        <xdr:cNvSpPr txBox="1"/>
      </xdr:nvSpPr>
      <xdr:spPr>
        <a:xfrm>
          <a:off x="133350" y="2743200"/>
          <a:ext cx="14859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mn-ea"/>
              <a:ea typeface="+mn-ea"/>
            </a:rPr>
            <a:t>【</a:t>
          </a:r>
          <a:r>
            <a:rPr kumimoji="1" lang="ja-JP" altLang="en-US" sz="1200" b="1">
              <a:latin typeface="+mn-ea"/>
              <a:ea typeface="+mn-ea"/>
            </a:rPr>
            <a:t>基本報酬</a:t>
          </a:r>
          <a:r>
            <a:rPr kumimoji="1" lang="en-US" altLang="ja-JP" sz="1200" b="1">
              <a:latin typeface="+mn-ea"/>
              <a:ea typeface="+mn-ea"/>
            </a:rPr>
            <a:t>】</a:t>
          </a:r>
          <a:endParaRPr kumimoji="1" lang="ja-JP" altLang="en-US" sz="1200" b="1">
            <a:latin typeface="+mn-ea"/>
            <a:ea typeface="+mn-ea"/>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54FBDB-AB7F-4E6E-9B6B-5676EB927AF9}" name="テーブル3" displayName="テーブル3" ref="A22:L35" totalsRowShown="0" headerRowDxfId="30" dataDxfId="28" headerRowBorderDxfId="29" tableBorderDxfId="27" totalsRowBorderDxfId="26">
  <autoFilter ref="A22:L35" xr:uid="{5B54FBDB-AB7F-4E6E-9B6B-5676EB927AF9}"/>
  <tableColumns count="12">
    <tableColumn id="12" xr3:uid="{5E1043E0-8316-4749-83F5-14A74F1B3FC5}" name="番号" dataDxfId="25"/>
    <tableColumn id="1" xr3:uid="{12718178-B322-4C7F-8152-B104A4991E53}" name="続柄" dataDxfId="24"/>
    <tableColumn id="2" xr3:uid="{9AABEE7B-682E-4FB5-AF8B-1E86D2C0BF86}" name="氏名_x000a_(行政　太郎)" dataDxfId="23"/>
    <tableColumn id="3" xr3:uid="{E42B3DA2-4323-4F14-A9E0-31654702FD7B}" name="ふりがな_x000a_(ぎょうせい　たろう)" dataDxfId="22"/>
    <tableColumn id="4" xr3:uid="{776A5FFE-E3C1-42B7-AE09-D090A954C887}" name="生年月日_x000a_(R1.1.1)" dataDxfId="21"/>
    <tableColumn id="5" xr3:uid="{78CA7A15-AB8F-441E-839D-7A9FE21C921C}" name="死亡日_x000a_(R1.1.1)" dataDxfId="20"/>
    <tableColumn id="7" xr3:uid="{E76BE53B-3863-4828-B0C1-F37E29FC4BD6}" name="〒_x000a_(000-0000)" dataDxfId="19"/>
    <tableColumn id="6" xr3:uid="{B3A8FDA0-1D78-43CD-93C3-4015A78B4368}" name="住所1_x000a_(東京都中央区八重洲一丁目7-20)" dataDxfId="18"/>
    <tableColumn id="10" xr3:uid="{E4230001-CD0C-418A-8414-B355EDC951F3}" name="住所2_x000a_(八重洲口会館2階)" dataDxfId="17"/>
    <tableColumn id="9" xr3:uid="{1959223E-33B1-4194-9301-EAA670BFD464}" name="TEL_x000a_(00-0000-0000)" dataDxfId="16"/>
    <tableColumn id="8" xr3:uid="{9819B5DF-0D0E-4415-9800-1448C4FCC392}" name="本籍地_x000a_(東京都中央区八重洲一丁目7番20号)" dataDxfId="15"/>
    <tableColumn id="11" xr3:uid="{0940ED9A-F7A3-45D4-9820-F1F9D36B27EF}" name="筆頭者_x000a_(行政　太郎)" dataDxfId="1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AC0D33-8933-4CB4-B315-D8B0630E08FA}" name="テーブル13" displayName="テーブル13" ref="A48:E67" totalsRowShown="0" headerRowDxfId="13" dataDxfId="11" headerRowBorderDxfId="12" tableBorderDxfId="10" totalsRowBorderDxfId="9">
  <autoFilter ref="A48:E67" xr:uid="{AFAC0D33-8933-4CB4-B315-D8B0630E08FA}"/>
  <tableColumns count="5">
    <tableColumn id="1" xr3:uid="{554FC341-6EA9-4112-ABDF-3DBF5CE72068}" name="金融機関№" dataDxfId="8"/>
    <tableColumn id="2" xr3:uid="{EB285DB6-B455-4FB0-BEAA-37CD3B5B38FA}" name="行名" dataDxfId="7"/>
    <tableColumn id="3" xr3:uid="{B767E668-2E26-4A00-85E5-153B833B43A6}" name="支店名" dataDxfId="6"/>
    <tableColumn id="4" xr3:uid="{6CF484AC-2DDC-4611-942E-F130A3B6636A}" name="種類" dataDxfId="5"/>
    <tableColumn id="5" xr3:uid="{CD229C8A-E917-4557-B059-6CF29289E64B}" name="口座番号" dataDxfId="4"/>
  </tableColumns>
  <tableStyleInfo name="TableStyleMedium1"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table" Target="../tables/table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table" Target="../tables/table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13" Type="http://schemas.openxmlformats.org/officeDocument/2006/relationships/ctrlProp" Target="../ctrlProps/ctrlProp21.xml"/><Relationship Id="rId3" Type="http://schemas.openxmlformats.org/officeDocument/2006/relationships/vmlDrawing" Target="../drawings/vmlDrawing2.vml"/><Relationship Id="rId7" Type="http://schemas.openxmlformats.org/officeDocument/2006/relationships/ctrlProp" Target="../ctrlProps/ctrlProp15.xml"/><Relationship Id="rId12" Type="http://schemas.openxmlformats.org/officeDocument/2006/relationships/ctrlProp" Target="../ctrlProps/ctrlProp20.xml"/><Relationship Id="rId2" Type="http://schemas.openxmlformats.org/officeDocument/2006/relationships/drawing" Target="../drawings/drawing2.xml"/><Relationship Id="rId16" Type="http://schemas.openxmlformats.org/officeDocument/2006/relationships/ctrlProp" Target="../ctrlProps/ctrlProp24.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trlProp" Target="../ctrlProps/ctrlProp19.xml"/><Relationship Id="rId5" Type="http://schemas.openxmlformats.org/officeDocument/2006/relationships/ctrlProp" Target="../ctrlProps/ctrlProp13.xml"/><Relationship Id="rId15" Type="http://schemas.openxmlformats.org/officeDocument/2006/relationships/ctrlProp" Target="../ctrlProps/ctrlProp23.xml"/><Relationship Id="rId10" Type="http://schemas.openxmlformats.org/officeDocument/2006/relationships/ctrlProp" Target="../ctrlProps/ctrlProp18.xml"/><Relationship Id="rId4" Type="http://schemas.openxmlformats.org/officeDocument/2006/relationships/ctrlProp" Target="../ctrlProps/ctrlProp12.xml"/><Relationship Id="rId9" Type="http://schemas.openxmlformats.org/officeDocument/2006/relationships/ctrlProp" Target="../ctrlProps/ctrlProp17.xml"/><Relationship Id="rId14" Type="http://schemas.openxmlformats.org/officeDocument/2006/relationships/ctrlProp" Target="../ctrlProps/ctrlProp2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C0441-277F-4918-A249-2F4B20B06B19}">
  <sheetPr codeName="Sheet1">
    <tabColor theme="5"/>
  </sheetPr>
  <dimension ref="A1:AG176"/>
  <sheetViews>
    <sheetView tabSelected="1" zoomScale="90" zoomScaleNormal="90" workbookViewId="0">
      <selection activeCell="H61" sqref="H61"/>
    </sheetView>
  </sheetViews>
  <sheetFormatPr defaultColWidth="9" defaultRowHeight="18.75" x14ac:dyDescent="0.4"/>
  <cols>
    <col min="1" max="1" width="13.625" style="3" customWidth="1"/>
    <col min="2" max="5" width="13.125" style="3" customWidth="1"/>
    <col min="6" max="6" width="13.875" style="3" customWidth="1"/>
    <col min="7" max="7" width="20.75" style="3" customWidth="1"/>
    <col min="8" max="8" width="23.375" style="3" customWidth="1"/>
    <col min="9" max="10" width="22.75" style="3" customWidth="1"/>
    <col min="11" max="11" width="28.875" style="3" customWidth="1"/>
    <col min="12" max="12" width="16" style="3" customWidth="1"/>
    <col min="13" max="13" width="21.25" customWidth="1"/>
    <col min="14" max="16" width="8.625"/>
    <col min="17" max="17" width="9" customWidth="1"/>
    <col min="18" max="18" width="12.875" customWidth="1"/>
    <col min="19" max="19" width="12.125" customWidth="1"/>
    <col min="20" max="20" width="15.875" customWidth="1"/>
    <col min="21" max="23" width="10.375" customWidth="1"/>
    <col min="24" max="24" width="8.625"/>
    <col min="25" max="25" width="9.25" bestFit="1" customWidth="1"/>
    <col min="26" max="26" width="9.25" style="5" bestFit="1" customWidth="1"/>
    <col min="27" max="27" width="20.75" style="5" bestFit="1" customWidth="1"/>
    <col min="28" max="28" width="43.375" style="5" customWidth="1"/>
    <col min="29" max="29" width="9.25" style="5" bestFit="1" customWidth="1"/>
    <col min="30" max="30" width="30.625" style="5" bestFit="1" customWidth="1"/>
    <col min="31" max="31" width="15.5" customWidth="1"/>
    <col min="32" max="32" width="14.375" style="3" customWidth="1"/>
    <col min="33" max="33" width="4.75" style="3" customWidth="1"/>
    <col min="34" max="16384" width="9" style="3"/>
  </cols>
  <sheetData>
    <row r="1" spans="1:32" ht="28.5" x14ac:dyDescent="0.4">
      <c r="A1" s="7" t="s">
        <v>43</v>
      </c>
    </row>
    <row r="2" spans="1:32" x14ac:dyDescent="0.4">
      <c r="A2" s="3" t="s">
        <v>485</v>
      </c>
    </row>
    <row r="3" spans="1:32" x14ac:dyDescent="0.4">
      <c r="A3" s="3" t="s">
        <v>508</v>
      </c>
    </row>
    <row r="4" spans="1:32" x14ac:dyDescent="0.4">
      <c r="A4" s="3" t="s">
        <v>486</v>
      </c>
    </row>
    <row r="5" spans="1:32" x14ac:dyDescent="0.4">
      <c r="A5" s="3" t="s">
        <v>487</v>
      </c>
    </row>
    <row r="6" spans="1:32" hidden="1" x14ac:dyDescent="0.4"/>
    <row r="8" spans="1:32" x14ac:dyDescent="0.45">
      <c r="A8" s="150" t="s">
        <v>255</v>
      </c>
      <c r="B8" s="124" t="s">
        <v>483</v>
      </c>
      <c r="C8" s="124"/>
      <c r="D8" s="124"/>
      <c r="E8" s="124"/>
      <c r="F8" s="273" t="s">
        <v>304</v>
      </c>
      <c r="G8" s="273"/>
      <c r="H8" s="162" t="s">
        <v>307</v>
      </c>
      <c r="I8" s="125"/>
      <c r="J8" s="273" t="s">
        <v>355</v>
      </c>
      <c r="K8" s="273"/>
    </row>
    <row r="9" spans="1:32" x14ac:dyDescent="0.4">
      <c r="A9" s="4" t="s">
        <v>0</v>
      </c>
      <c r="B9" s="187"/>
      <c r="C9" s="76" t="s">
        <v>187</v>
      </c>
      <c r="D9" s="187"/>
      <c r="E9"/>
      <c r="F9" s="4" t="s">
        <v>344</v>
      </c>
      <c r="G9" s="188" t="s">
        <v>260</v>
      </c>
      <c r="H9" s="239"/>
      <c r="I9" s="202" t="b">
        <v>1</v>
      </c>
      <c r="J9" s="271" t="s">
        <v>308</v>
      </c>
      <c r="K9" s="272"/>
      <c r="M9" s="3"/>
      <c r="AF9"/>
    </row>
    <row r="10" spans="1:32" x14ac:dyDescent="0.4">
      <c r="A10" s="4" t="s">
        <v>42</v>
      </c>
      <c r="B10" s="187"/>
      <c r="C10" s="76" t="s">
        <v>256</v>
      </c>
      <c r="D10" s="187"/>
      <c r="E10"/>
      <c r="F10" s="4" t="s">
        <v>345</v>
      </c>
      <c r="G10" s="188" t="s">
        <v>246</v>
      </c>
      <c r="H10" s="239"/>
      <c r="I10" s="202" t="b">
        <v>1</v>
      </c>
      <c r="J10" s="271"/>
      <c r="K10" s="272"/>
      <c r="M10" s="3"/>
      <c r="AF10"/>
    </row>
    <row r="11" spans="1:32" x14ac:dyDescent="0.4">
      <c r="A11" s="4" t="s">
        <v>1</v>
      </c>
      <c r="B11" s="187"/>
      <c r="C11" s="76" t="s">
        <v>252</v>
      </c>
      <c r="D11" s="187"/>
      <c r="E11"/>
      <c r="F11" s="76" t="s">
        <v>346</v>
      </c>
      <c r="G11" s="188" t="s">
        <v>484</v>
      </c>
      <c r="H11" s="239"/>
      <c r="I11" s="202" t="b">
        <v>1</v>
      </c>
      <c r="J11" s="271"/>
      <c r="K11" s="272"/>
      <c r="M11" s="3"/>
      <c r="AF11"/>
    </row>
    <row r="12" spans="1:32" x14ac:dyDescent="0.4">
      <c r="A12" s="4" t="s">
        <v>26</v>
      </c>
      <c r="B12" s="187"/>
      <c r="C12" s="169" t="s">
        <v>320</v>
      </c>
      <c r="D12" s="245"/>
      <c r="E12" s="143"/>
      <c r="F12" s="76" t="s">
        <v>347</v>
      </c>
      <c r="G12" s="188" t="s">
        <v>247</v>
      </c>
      <c r="H12" s="239"/>
      <c r="I12" s="202" t="b">
        <v>1</v>
      </c>
      <c r="J12" s="271"/>
      <c r="K12" s="272"/>
      <c r="M12" s="3"/>
      <c r="AF12"/>
    </row>
    <row r="13" spans="1:32" x14ac:dyDescent="0.4">
      <c r="A13" s="4" t="s">
        <v>2</v>
      </c>
      <c r="B13" s="187"/>
      <c r="C13" s="4" t="s">
        <v>343</v>
      </c>
      <c r="D13" s="187"/>
      <c r="E13"/>
      <c r="F13" s="76" t="s">
        <v>348</v>
      </c>
      <c r="G13" s="188" t="s">
        <v>325</v>
      </c>
      <c r="H13" s="239"/>
      <c r="I13" s="202" t="b">
        <v>1</v>
      </c>
      <c r="J13" s="271"/>
      <c r="K13" s="272"/>
      <c r="M13" s="3"/>
      <c r="AF13"/>
    </row>
    <row r="14" spans="1:32" x14ac:dyDescent="0.4">
      <c r="A14" s="4" t="s">
        <v>250</v>
      </c>
      <c r="B14" s="245"/>
      <c r="C14" s="76" t="s">
        <v>542</v>
      </c>
      <c r="D14" s="245"/>
      <c r="E14"/>
      <c r="F14" s="76" t="s">
        <v>349</v>
      </c>
      <c r="G14" s="188" t="s">
        <v>490</v>
      </c>
      <c r="H14" s="239"/>
      <c r="I14" s="202" t="b">
        <v>1</v>
      </c>
      <c r="J14"/>
      <c r="K14"/>
      <c r="M14" s="3"/>
      <c r="AF14"/>
    </row>
    <row r="15" spans="1:32" x14ac:dyDescent="0.4">
      <c r="A15" s="76" t="s">
        <v>259</v>
      </c>
      <c r="B15" s="187"/>
      <c r="C15" s="76"/>
      <c r="D15" s="246"/>
      <c r="E15"/>
      <c r="F15" s="76" t="s">
        <v>350</v>
      </c>
      <c r="G15" s="188" t="s">
        <v>251</v>
      </c>
      <c r="H15" s="239"/>
      <c r="I15" s="202" t="b">
        <v>1</v>
      </c>
      <c r="J15"/>
      <c r="K15"/>
      <c r="M15" s="3"/>
      <c r="AF15"/>
    </row>
    <row r="16" spans="1:32" x14ac:dyDescent="0.4">
      <c r="A16" s="169" t="s">
        <v>258</v>
      </c>
      <c r="B16" s="187"/>
      <c r="C16" s="76"/>
      <c r="D16" s="246"/>
      <c r="E16"/>
      <c r="F16" s="76" t="s">
        <v>351</v>
      </c>
      <c r="G16" s="188" t="s">
        <v>261</v>
      </c>
      <c r="H16" s="239"/>
      <c r="I16" s="202" t="b">
        <v>0</v>
      </c>
      <c r="J16"/>
      <c r="K16"/>
      <c r="M16" s="3"/>
      <c r="AF16"/>
    </row>
    <row r="17" spans="1:32" x14ac:dyDescent="0.4">
      <c r="A17" s="76" t="s">
        <v>306</v>
      </c>
      <c r="B17" s="187"/>
      <c r="C17" s="76"/>
      <c r="D17" s="246"/>
      <c r="E17"/>
      <c r="F17" s="76" t="s">
        <v>352</v>
      </c>
      <c r="G17" s="188" t="s">
        <v>388</v>
      </c>
      <c r="H17" s="239"/>
      <c r="I17" s="202" t="b">
        <v>0</v>
      </c>
      <c r="J17"/>
      <c r="K17"/>
      <c r="M17" s="3"/>
      <c r="AF17"/>
    </row>
    <row r="18" spans="1:32" x14ac:dyDescent="0.4">
      <c r="A18" s="76" t="s">
        <v>84</v>
      </c>
      <c r="B18" s="187"/>
      <c r="C18" s="76"/>
      <c r="D18" s="246"/>
      <c r="E18"/>
      <c r="F18" s="76" t="s">
        <v>353</v>
      </c>
      <c r="G18" s="188"/>
      <c r="H18" s="188"/>
      <c r="I18" s="202" t="b">
        <v>0</v>
      </c>
      <c r="J18"/>
      <c r="K18"/>
      <c r="M18" s="3"/>
      <c r="AF18"/>
    </row>
    <row r="19" spans="1:32" x14ac:dyDescent="0.4">
      <c r="A19" s="76" t="s">
        <v>305</v>
      </c>
      <c r="B19" s="187"/>
      <c r="C19" s="76"/>
      <c r="D19" s="246"/>
      <c r="E19"/>
      <c r="F19" s="76" t="s">
        <v>354</v>
      </c>
      <c r="G19" s="188"/>
      <c r="H19" s="239"/>
      <c r="I19" s="202" t="b">
        <v>0</v>
      </c>
      <c r="J19"/>
      <c r="K19"/>
      <c r="M19" s="3"/>
      <c r="AF19"/>
    </row>
    <row r="20" spans="1:32" x14ac:dyDescent="0.4">
      <c r="E20"/>
    </row>
    <row r="21" spans="1:32" x14ac:dyDescent="0.4">
      <c r="A21" s="151" t="s">
        <v>356</v>
      </c>
    </row>
    <row r="22" spans="1:32" s="168" customFormat="1" ht="37.5" x14ac:dyDescent="0.4">
      <c r="A22" s="163" t="s">
        <v>224</v>
      </c>
      <c r="B22" s="164" t="s">
        <v>7</v>
      </c>
      <c r="C22" s="165" t="s">
        <v>357</v>
      </c>
      <c r="D22" s="165" t="s">
        <v>358</v>
      </c>
      <c r="E22" s="165" t="s">
        <v>359</v>
      </c>
      <c r="F22" s="165" t="s">
        <v>360</v>
      </c>
      <c r="G22" s="165" t="s">
        <v>361</v>
      </c>
      <c r="H22" s="165" t="s">
        <v>362</v>
      </c>
      <c r="I22" s="165" t="s">
        <v>363</v>
      </c>
      <c r="J22" s="165" t="s">
        <v>364</v>
      </c>
      <c r="K22" s="165" t="s">
        <v>365</v>
      </c>
      <c r="L22" s="165" t="s">
        <v>366</v>
      </c>
      <c r="M22" s="71"/>
      <c r="N22" s="71"/>
      <c r="O22" s="71"/>
      <c r="P22" s="71"/>
      <c r="Q22" s="166" t="b">
        <f>IF(R22="",FALSE,TRUE)</f>
        <v>1</v>
      </c>
      <c r="R22" s="274" t="str">
        <f>J9&amp;""</f>
        <v>印鑑証明書（原本）</v>
      </c>
      <c r="S22" s="274"/>
      <c r="T22" s="71"/>
      <c r="U22" s="71"/>
      <c r="V22" s="71"/>
      <c r="W22" s="71"/>
      <c r="X22" s="71"/>
      <c r="Y22" s="71"/>
      <c r="Z22" s="167"/>
      <c r="AA22" s="167"/>
      <c r="AB22" s="167"/>
      <c r="AC22" s="167"/>
      <c r="AD22" s="167"/>
      <c r="AE22" s="71"/>
    </row>
    <row r="23" spans="1:32" x14ac:dyDescent="0.4">
      <c r="A23" s="189" t="s">
        <v>3</v>
      </c>
      <c r="B23" s="190" t="s">
        <v>319</v>
      </c>
      <c r="C23" s="187"/>
      <c r="D23" s="187"/>
      <c r="E23" s="191"/>
      <c r="F23" s="191"/>
      <c r="G23" s="187"/>
      <c r="H23" s="188"/>
      <c r="I23" s="188"/>
      <c r="J23" s="188"/>
      <c r="K23" s="188"/>
      <c r="L23" s="192"/>
      <c r="Q23" s="153" t="b">
        <f>IF(R23="",FALSE,TRUE)</f>
        <v>0</v>
      </c>
      <c r="R23" s="270" t="str">
        <f>J10&amp;""</f>
        <v/>
      </c>
      <c r="S23" s="270"/>
    </row>
    <row r="24" spans="1:32" x14ac:dyDescent="0.4">
      <c r="A24" s="189" t="s">
        <v>33</v>
      </c>
      <c r="B24" s="193"/>
      <c r="C24" s="187"/>
      <c r="D24" s="187"/>
      <c r="E24" s="191"/>
      <c r="F24" s="194"/>
      <c r="G24" s="187"/>
      <c r="H24" s="188"/>
      <c r="I24" s="188"/>
      <c r="J24" s="188"/>
      <c r="K24" s="188"/>
      <c r="L24" s="192"/>
      <c r="Q24" s="153" t="b">
        <f>IF(R24="",FALSE,TRUE)</f>
        <v>0</v>
      </c>
      <c r="R24" s="270" t="str">
        <f>J11&amp;""</f>
        <v/>
      </c>
      <c r="S24" s="270"/>
    </row>
    <row r="25" spans="1:32" x14ac:dyDescent="0.4">
      <c r="A25" s="195" t="s">
        <v>32</v>
      </c>
      <c r="B25" s="193"/>
      <c r="C25" s="187"/>
      <c r="D25" s="187"/>
      <c r="E25" s="191"/>
      <c r="F25" s="194"/>
      <c r="G25" s="187"/>
      <c r="H25" s="188"/>
      <c r="I25" s="188"/>
      <c r="J25" s="188"/>
      <c r="K25" s="188"/>
      <c r="L25" s="192"/>
      <c r="Q25" s="153" t="b">
        <f>IF(R25="",FALSE,TRUE)</f>
        <v>0</v>
      </c>
      <c r="R25" s="270" t="str">
        <f>J12&amp;""</f>
        <v/>
      </c>
      <c r="S25" s="270"/>
    </row>
    <row r="26" spans="1:32" x14ac:dyDescent="0.4">
      <c r="A26" s="195" t="s">
        <v>34</v>
      </c>
      <c r="B26" s="193"/>
      <c r="C26" s="187"/>
      <c r="D26" s="187"/>
      <c r="E26" s="191"/>
      <c r="F26" s="194"/>
      <c r="G26" s="187"/>
      <c r="H26" s="188"/>
      <c r="I26" s="188"/>
      <c r="J26" s="188"/>
      <c r="K26" s="188"/>
      <c r="L26" s="192"/>
      <c r="Q26" s="153" t="b">
        <f>IF(R26="",FALSE,TRUE)</f>
        <v>0</v>
      </c>
      <c r="R26" s="270" t="str">
        <f>J13&amp;""</f>
        <v/>
      </c>
      <c r="S26" s="270"/>
    </row>
    <row r="27" spans="1:32" ht="19.5" customHeight="1" x14ac:dyDescent="0.4">
      <c r="A27" s="195" t="s">
        <v>35</v>
      </c>
      <c r="B27" s="193"/>
      <c r="C27" s="187"/>
      <c r="D27" s="187"/>
      <c r="E27" s="191"/>
      <c r="F27" s="194"/>
      <c r="G27" s="187"/>
      <c r="H27" s="188"/>
      <c r="I27" s="188"/>
      <c r="J27" s="188"/>
      <c r="K27" s="188"/>
      <c r="L27" s="192"/>
    </row>
    <row r="28" spans="1:32" ht="19.5" customHeight="1" x14ac:dyDescent="0.4">
      <c r="A28" s="195" t="s">
        <v>36</v>
      </c>
      <c r="B28" s="193"/>
      <c r="C28" s="187"/>
      <c r="D28" s="187"/>
      <c r="E28" s="191"/>
      <c r="F28" s="194"/>
      <c r="G28" s="187"/>
      <c r="H28" s="188"/>
      <c r="I28" s="188"/>
      <c r="J28" s="188"/>
      <c r="K28" s="188"/>
      <c r="L28" s="192"/>
    </row>
    <row r="29" spans="1:32" ht="19.5" customHeight="1" x14ac:dyDescent="0.4">
      <c r="A29" s="195" t="s">
        <v>37</v>
      </c>
      <c r="B29" s="193"/>
      <c r="C29" s="187"/>
      <c r="D29" s="187"/>
      <c r="E29" s="191"/>
      <c r="F29" s="194"/>
      <c r="G29" s="187"/>
      <c r="H29" s="188"/>
      <c r="I29" s="188"/>
      <c r="J29" s="188"/>
      <c r="K29" s="188"/>
      <c r="L29" s="192"/>
    </row>
    <row r="30" spans="1:32" x14ac:dyDescent="0.4">
      <c r="A30" s="195" t="s">
        <v>38</v>
      </c>
      <c r="B30" s="193"/>
      <c r="C30" s="187"/>
      <c r="D30" s="187"/>
      <c r="E30" s="191"/>
      <c r="F30" s="194"/>
      <c r="G30" s="187"/>
      <c r="H30" s="188"/>
      <c r="I30" s="188"/>
      <c r="J30" s="188"/>
      <c r="K30" s="188"/>
      <c r="L30" s="192"/>
    </row>
    <row r="31" spans="1:32" x14ac:dyDescent="0.4">
      <c r="A31" s="195" t="s">
        <v>39</v>
      </c>
      <c r="B31" s="193"/>
      <c r="C31" s="187"/>
      <c r="D31" s="187"/>
      <c r="E31" s="191"/>
      <c r="F31" s="194"/>
      <c r="G31" s="187"/>
      <c r="H31" s="188"/>
      <c r="I31" s="188"/>
      <c r="J31" s="188"/>
      <c r="K31" s="188"/>
      <c r="L31" s="192"/>
    </row>
    <row r="32" spans="1:32" x14ac:dyDescent="0.4">
      <c r="A32" s="195" t="s">
        <v>40</v>
      </c>
      <c r="B32" s="193"/>
      <c r="C32" s="187"/>
      <c r="D32" s="187"/>
      <c r="E32" s="191"/>
      <c r="F32" s="194"/>
      <c r="G32" s="187"/>
      <c r="H32" s="188"/>
      <c r="I32" s="188"/>
      <c r="J32" s="188"/>
      <c r="K32" s="188"/>
      <c r="L32" s="192"/>
    </row>
    <row r="33" spans="1:12" x14ac:dyDescent="0.4">
      <c r="A33" s="195" t="s">
        <v>41</v>
      </c>
      <c r="B33" s="193"/>
      <c r="C33" s="187"/>
      <c r="D33" s="187"/>
      <c r="E33" s="191"/>
      <c r="F33" s="194"/>
      <c r="G33" s="187"/>
      <c r="H33" s="188"/>
      <c r="I33" s="188"/>
      <c r="J33" s="188"/>
      <c r="K33" s="188"/>
      <c r="L33" s="192"/>
    </row>
    <row r="34" spans="1:12" x14ac:dyDescent="0.4">
      <c r="A34" s="196" t="s">
        <v>172</v>
      </c>
      <c r="B34" s="193"/>
      <c r="C34" s="187"/>
      <c r="D34" s="187"/>
      <c r="E34" s="191"/>
      <c r="F34" s="194"/>
      <c r="G34" s="187"/>
      <c r="H34" s="188"/>
      <c r="I34" s="188"/>
      <c r="J34" s="188"/>
      <c r="K34" s="188"/>
      <c r="L34" s="192"/>
    </row>
    <row r="35" spans="1:12" x14ac:dyDescent="0.4">
      <c r="A35" s="196" t="s">
        <v>173</v>
      </c>
      <c r="B35" s="193"/>
      <c r="C35" s="187"/>
      <c r="D35" s="187"/>
      <c r="E35" s="191"/>
      <c r="F35" s="194"/>
      <c r="G35" s="187"/>
      <c r="H35" s="188"/>
      <c r="I35" s="188"/>
      <c r="J35" s="188"/>
      <c r="K35" s="188"/>
      <c r="L35" s="192"/>
    </row>
    <row r="36" spans="1:12" x14ac:dyDescent="0.4">
      <c r="B36" s="35"/>
      <c r="C36" s="35"/>
      <c r="D36" s="35"/>
      <c r="E36" s="35"/>
      <c r="F36" s="35"/>
      <c r="G36" s="35"/>
      <c r="H36" s="35"/>
      <c r="I36" s="35"/>
      <c r="J36" s="35"/>
      <c r="K36" s="35"/>
    </row>
    <row r="37" spans="1:12" x14ac:dyDescent="0.4">
      <c r="A37" s="219" t="s">
        <v>474</v>
      </c>
      <c r="B37" s="35"/>
      <c r="C37" s="35"/>
      <c r="D37" s="35"/>
      <c r="E37" s="35"/>
      <c r="F37" s="35"/>
      <c r="G37" s="35"/>
      <c r="H37" s="35"/>
      <c r="I37" s="35"/>
      <c r="J37" s="35"/>
      <c r="K37" s="35"/>
    </row>
    <row r="38" spans="1:12" x14ac:dyDescent="0.4">
      <c r="A38" s="217" t="s">
        <v>441</v>
      </c>
      <c r="B38" s="218"/>
      <c r="C38" s="35"/>
      <c r="D38" s="212" t="s">
        <v>444</v>
      </c>
      <c r="E38" s="35"/>
      <c r="F38" s="35"/>
      <c r="G38" s="35"/>
      <c r="H38" s="35"/>
      <c r="I38" s="35"/>
      <c r="J38" s="35"/>
      <c r="K38" s="35"/>
    </row>
    <row r="39" spans="1:12" x14ac:dyDescent="0.4">
      <c r="A39" s="215" t="s">
        <v>442</v>
      </c>
      <c r="B39" s="216"/>
      <c r="C39" s="35"/>
      <c r="D39" s="214" t="s">
        <v>445</v>
      </c>
      <c r="E39" s="214"/>
      <c r="F39" s="35"/>
      <c r="G39" s="35"/>
      <c r="H39" s="35"/>
      <c r="I39" s="35"/>
      <c r="J39" s="35"/>
      <c r="K39" s="35"/>
    </row>
    <row r="40" spans="1:12" x14ac:dyDescent="0.4">
      <c r="A40" s="213" t="s">
        <v>443</v>
      </c>
      <c r="B40" s="216"/>
      <c r="C40" s="35"/>
      <c r="D40" s="35"/>
      <c r="E40" s="35"/>
      <c r="F40" s="35"/>
      <c r="G40" s="35"/>
      <c r="H40" s="35"/>
      <c r="I40" s="35"/>
      <c r="J40" s="35"/>
      <c r="K40" s="35"/>
    </row>
    <row r="41" spans="1:12" x14ac:dyDescent="0.4">
      <c r="A41" s="213" t="s">
        <v>443</v>
      </c>
      <c r="B41" s="216"/>
      <c r="C41" s="35"/>
      <c r="D41" s="212" t="s">
        <v>446</v>
      </c>
      <c r="E41" s="35"/>
      <c r="F41" s="35"/>
      <c r="G41" s="35"/>
      <c r="H41" s="35"/>
      <c r="I41" s="35"/>
      <c r="J41" s="35"/>
      <c r="K41" s="35"/>
    </row>
    <row r="42" spans="1:12" x14ac:dyDescent="0.4">
      <c r="A42" s="213" t="s">
        <v>443</v>
      </c>
      <c r="B42" s="216"/>
      <c r="C42" s="35"/>
      <c r="D42" s="212" t="s">
        <v>26</v>
      </c>
      <c r="E42" s="212" t="s">
        <v>447</v>
      </c>
      <c r="F42" s="35"/>
      <c r="G42" s="35"/>
      <c r="H42" s="35"/>
      <c r="I42" s="35"/>
      <c r="J42" s="35"/>
      <c r="K42" s="35"/>
    </row>
    <row r="43" spans="1:12" x14ac:dyDescent="0.4">
      <c r="A43" s="213" t="s">
        <v>443</v>
      </c>
      <c r="B43" s="216"/>
      <c r="D43" s="187" t="s">
        <v>27</v>
      </c>
      <c r="E43" s="186" t="s">
        <v>449</v>
      </c>
      <c r="F43" s="35"/>
      <c r="G43" s="35"/>
      <c r="H43" s="35"/>
      <c r="I43" s="35"/>
      <c r="J43" s="35"/>
      <c r="K43" s="35"/>
    </row>
    <row r="46" spans="1:12" x14ac:dyDescent="0.4">
      <c r="A46" s="151" t="s">
        <v>475</v>
      </c>
      <c r="B46" s="35"/>
      <c r="C46" s="35"/>
      <c r="D46" s="35"/>
      <c r="E46" s="35"/>
      <c r="F46" s="35"/>
      <c r="G46" s="151" t="s">
        <v>507</v>
      </c>
      <c r="H46" s="35"/>
      <c r="I46" s="35"/>
      <c r="J46" s="35"/>
      <c r="K46" s="35"/>
    </row>
    <row r="47" spans="1:12" x14ac:dyDescent="0.4">
      <c r="A47" s="3" t="s">
        <v>318</v>
      </c>
      <c r="B47" s="35"/>
      <c r="C47" s="35"/>
      <c r="D47" s="35"/>
      <c r="E47" s="35"/>
      <c r="F47" s="35"/>
      <c r="G47" s="3" t="s">
        <v>491</v>
      </c>
      <c r="H47" s="35"/>
      <c r="I47" s="35"/>
      <c r="J47" s="35"/>
      <c r="K47" s="35"/>
    </row>
    <row r="48" spans="1:12" x14ac:dyDescent="0.4">
      <c r="A48" s="231" t="s">
        <v>225</v>
      </c>
      <c r="B48" s="215" t="s">
        <v>226</v>
      </c>
      <c r="C48" s="215" t="s">
        <v>227</v>
      </c>
      <c r="D48" s="215" t="s">
        <v>303</v>
      </c>
      <c r="E48" s="232" t="s">
        <v>228</v>
      </c>
      <c r="F48" s="35"/>
      <c r="G48" s="251" t="s">
        <v>492</v>
      </c>
      <c r="I48" s="35"/>
      <c r="J48" s="35"/>
      <c r="K48" s="35"/>
    </row>
    <row r="49" spans="1:11" x14ac:dyDescent="0.4">
      <c r="A49" s="193" t="s">
        <v>115</v>
      </c>
      <c r="B49" s="230"/>
      <c r="C49" s="199"/>
      <c r="D49" s="199"/>
      <c r="E49" s="200"/>
      <c r="F49" s="252" t="s">
        <v>115</v>
      </c>
      <c r="G49" s="260"/>
      <c r="I49" s="35"/>
      <c r="J49" s="35"/>
      <c r="K49" s="35"/>
    </row>
    <row r="50" spans="1:11" x14ac:dyDescent="0.4">
      <c r="A50" s="193" t="s">
        <v>116</v>
      </c>
      <c r="B50" s="230"/>
      <c r="C50" s="199"/>
      <c r="D50" s="199"/>
      <c r="E50" s="200"/>
      <c r="F50" s="252" t="s">
        <v>116</v>
      </c>
      <c r="G50" s="230"/>
      <c r="I50" s="35"/>
      <c r="J50" s="35"/>
      <c r="K50" s="35"/>
    </row>
    <row r="51" spans="1:11" x14ac:dyDescent="0.4">
      <c r="A51" s="193" t="s">
        <v>119</v>
      </c>
      <c r="B51" s="230"/>
      <c r="C51" s="199"/>
      <c r="D51" s="199"/>
      <c r="E51" s="200"/>
      <c r="F51" s="252" t="s">
        <v>119</v>
      </c>
      <c r="G51" s="260"/>
      <c r="I51" s="35"/>
      <c r="J51" s="35"/>
      <c r="K51" s="35"/>
    </row>
    <row r="52" spans="1:11" x14ac:dyDescent="0.4">
      <c r="A52" s="193" t="s">
        <v>120</v>
      </c>
      <c r="B52" s="230"/>
      <c r="C52" s="199"/>
      <c r="D52" s="199"/>
      <c r="E52" s="200"/>
      <c r="F52" s="252" t="s">
        <v>120</v>
      </c>
      <c r="G52" s="230"/>
      <c r="I52" s="35"/>
      <c r="J52" s="35"/>
      <c r="K52" s="35"/>
    </row>
    <row r="53" spans="1:11" x14ac:dyDescent="0.4">
      <c r="A53" s="193" t="s">
        <v>122</v>
      </c>
      <c r="B53" s="230"/>
      <c r="C53" s="199"/>
      <c r="D53" s="199"/>
      <c r="E53" s="200"/>
      <c r="F53" s="252" t="s">
        <v>122</v>
      </c>
      <c r="G53" s="260"/>
      <c r="I53" s="35"/>
      <c r="J53" s="35"/>
      <c r="K53" s="35"/>
    </row>
    <row r="54" spans="1:11" x14ac:dyDescent="0.4">
      <c r="A54" s="193" t="s">
        <v>125</v>
      </c>
      <c r="B54" s="230"/>
      <c r="C54" s="199"/>
      <c r="D54" s="199"/>
      <c r="E54" s="200"/>
      <c r="F54" s="252" t="s">
        <v>125</v>
      </c>
      <c r="G54" s="230"/>
      <c r="I54" s="35"/>
      <c r="J54" s="35"/>
      <c r="K54" s="35"/>
    </row>
    <row r="55" spans="1:11" x14ac:dyDescent="0.4">
      <c r="A55" s="193" t="s">
        <v>126</v>
      </c>
      <c r="B55" s="230"/>
      <c r="C55" s="199"/>
      <c r="D55" s="199"/>
      <c r="E55" s="200"/>
      <c r="F55" s="252" t="s">
        <v>126</v>
      </c>
      <c r="G55" s="260"/>
      <c r="I55" s="35"/>
      <c r="J55" s="35"/>
      <c r="K55" s="35"/>
    </row>
    <row r="56" spans="1:11" x14ac:dyDescent="0.4">
      <c r="A56" s="193" t="s">
        <v>127</v>
      </c>
      <c r="B56" s="230"/>
      <c r="C56" s="199"/>
      <c r="D56" s="199"/>
      <c r="E56" s="200"/>
      <c r="F56" s="252" t="s">
        <v>127</v>
      </c>
      <c r="G56" s="230"/>
      <c r="I56" s="35"/>
      <c r="J56" s="35"/>
      <c r="K56" s="35"/>
    </row>
    <row r="57" spans="1:11" x14ac:dyDescent="0.4">
      <c r="A57" s="193" t="s">
        <v>131</v>
      </c>
      <c r="B57" s="230"/>
      <c r="C57" s="199"/>
      <c r="D57" s="199"/>
      <c r="E57" s="200"/>
      <c r="F57" s="252" t="s">
        <v>131</v>
      </c>
      <c r="G57" s="260"/>
      <c r="I57" s="35"/>
      <c r="J57" s="35"/>
      <c r="K57" s="35"/>
    </row>
    <row r="58" spans="1:11" x14ac:dyDescent="0.4">
      <c r="A58" s="211" t="s">
        <v>134</v>
      </c>
      <c r="B58" s="230"/>
      <c r="C58" s="201"/>
      <c r="D58" s="201"/>
      <c r="E58" s="200"/>
      <c r="F58" s="35"/>
      <c r="G58" s="35"/>
      <c r="H58" s="35"/>
      <c r="I58" s="35"/>
      <c r="J58" s="35"/>
      <c r="K58" s="35"/>
    </row>
    <row r="59" spans="1:11" x14ac:dyDescent="0.4">
      <c r="A59" s="193" t="s">
        <v>233</v>
      </c>
      <c r="B59" s="230"/>
      <c r="C59" s="199"/>
      <c r="D59" s="199"/>
      <c r="E59" s="200"/>
      <c r="F59" s="35"/>
      <c r="G59" s="35"/>
      <c r="H59" s="35"/>
      <c r="I59" s="35"/>
      <c r="J59" s="35"/>
      <c r="K59" s="35"/>
    </row>
    <row r="60" spans="1:11" x14ac:dyDescent="0.4">
      <c r="A60" s="193" t="s">
        <v>234</v>
      </c>
      <c r="B60" s="230"/>
      <c r="C60" s="199"/>
      <c r="D60" s="199"/>
      <c r="E60" s="200"/>
      <c r="F60" s="35"/>
      <c r="G60" s="35"/>
      <c r="H60" s="35"/>
      <c r="I60" s="35"/>
      <c r="J60" s="35"/>
      <c r="K60" s="35"/>
    </row>
    <row r="61" spans="1:11" x14ac:dyDescent="0.4">
      <c r="A61" s="211" t="s">
        <v>235</v>
      </c>
      <c r="B61" s="230"/>
      <c r="C61" s="201"/>
      <c r="D61" s="201"/>
      <c r="E61" s="200"/>
      <c r="F61" s="35"/>
      <c r="G61" s="35"/>
      <c r="H61" s="35"/>
      <c r="I61" s="35"/>
      <c r="J61" s="35"/>
      <c r="K61" s="35"/>
    </row>
    <row r="62" spans="1:11" x14ac:dyDescent="0.4">
      <c r="A62" s="193" t="s">
        <v>236</v>
      </c>
      <c r="B62" s="230"/>
      <c r="C62" s="199"/>
      <c r="D62" s="199"/>
      <c r="E62" s="200"/>
      <c r="F62" s="35"/>
      <c r="G62" s="35"/>
      <c r="H62" s="35"/>
      <c r="I62" s="35"/>
      <c r="J62" s="35"/>
      <c r="K62" s="35"/>
    </row>
    <row r="63" spans="1:11" x14ac:dyDescent="0.4">
      <c r="A63" s="193" t="s">
        <v>237</v>
      </c>
      <c r="B63" s="230"/>
      <c r="C63" s="199"/>
      <c r="D63" s="199"/>
      <c r="E63" s="200"/>
      <c r="F63" s="35"/>
      <c r="G63" s="35"/>
      <c r="H63" s="35"/>
      <c r="I63" s="35"/>
      <c r="J63" s="35"/>
      <c r="K63" s="35"/>
    </row>
    <row r="64" spans="1:11" x14ac:dyDescent="0.4">
      <c r="A64" s="193" t="s">
        <v>238</v>
      </c>
      <c r="B64" s="230"/>
      <c r="C64" s="199"/>
      <c r="D64" s="199"/>
      <c r="E64" s="200"/>
      <c r="F64" s="35"/>
      <c r="G64" s="35"/>
      <c r="H64" s="35"/>
      <c r="I64" s="35"/>
      <c r="J64" s="35"/>
      <c r="K64" s="35"/>
    </row>
    <row r="65" spans="1:33" x14ac:dyDescent="0.4">
      <c r="A65" s="193" t="s">
        <v>239</v>
      </c>
      <c r="B65" s="230"/>
      <c r="C65" s="199"/>
      <c r="D65" s="199"/>
      <c r="E65" s="200"/>
      <c r="F65" s="35"/>
      <c r="G65" s="35"/>
      <c r="H65" s="35"/>
      <c r="I65" s="35"/>
      <c r="J65" s="35"/>
      <c r="K65" s="35"/>
    </row>
    <row r="66" spans="1:33" x14ac:dyDescent="0.4">
      <c r="A66" s="193" t="s">
        <v>240</v>
      </c>
      <c r="B66" s="230"/>
      <c r="C66" s="199"/>
      <c r="D66" s="199"/>
      <c r="E66" s="200"/>
      <c r="F66" s="35"/>
      <c r="G66" s="35"/>
      <c r="H66" s="35"/>
      <c r="I66" s="35"/>
      <c r="J66" s="35"/>
      <c r="K66" s="35"/>
    </row>
    <row r="67" spans="1:33" x14ac:dyDescent="0.4">
      <c r="A67" s="193" t="s">
        <v>241</v>
      </c>
      <c r="B67" s="230"/>
      <c r="C67" s="199"/>
      <c r="D67" s="199"/>
      <c r="E67" s="200"/>
      <c r="F67" s="35"/>
      <c r="G67" s="35"/>
      <c r="H67" s="35"/>
      <c r="I67" s="35"/>
      <c r="J67" s="35"/>
      <c r="K67" s="35"/>
    </row>
    <row r="68" spans="1:33" x14ac:dyDescent="0.4">
      <c r="B68" s="35"/>
      <c r="C68" s="35"/>
      <c r="D68" s="35"/>
      <c r="E68" s="35"/>
      <c r="F68" s="35"/>
      <c r="G68" s="35"/>
      <c r="H68" s="35"/>
      <c r="I68" s="35"/>
      <c r="J68" s="35"/>
      <c r="K68" s="35"/>
    </row>
    <row r="70" spans="1:33" ht="32.25" hidden="1" customHeight="1" x14ac:dyDescent="0.4"/>
    <row r="71" spans="1:33" s="247" customFormat="1" ht="19.5" hidden="1" customHeight="1" x14ac:dyDescent="0.4">
      <c r="A71" s="253" t="s">
        <v>1</v>
      </c>
      <c r="B71" s="253" t="s">
        <v>201</v>
      </c>
      <c r="C71" s="253" t="s">
        <v>203</v>
      </c>
      <c r="D71" s="253" t="s">
        <v>204</v>
      </c>
      <c r="E71" s="253" t="s">
        <v>207</v>
      </c>
      <c r="F71" s="253" t="s">
        <v>252</v>
      </c>
      <c r="G71" s="253" t="s">
        <v>95</v>
      </c>
      <c r="H71" s="253" t="s">
        <v>284</v>
      </c>
      <c r="I71" s="253" t="s">
        <v>96</v>
      </c>
      <c r="J71" s="253" t="s">
        <v>93</v>
      </c>
      <c r="K71" s="253" t="s">
        <v>94</v>
      </c>
      <c r="L71" s="253" t="s">
        <v>7</v>
      </c>
      <c r="M71" s="253" t="s">
        <v>187</v>
      </c>
      <c r="N71" s="254" t="s">
        <v>26</v>
      </c>
      <c r="O71" s="254" t="s">
        <v>56</v>
      </c>
      <c r="P71" s="254" t="s">
        <v>135</v>
      </c>
      <c r="Q71" s="254" t="s">
        <v>136</v>
      </c>
      <c r="R71" s="254" t="s">
        <v>57</v>
      </c>
      <c r="S71" s="254" t="s">
        <v>58</v>
      </c>
      <c r="T71" s="254" t="s">
        <v>26</v>
      </c>
      <c r="U71" s="254"/>
      <c r="V71" s="254" t="s">
        <v>56</v>
      </c>
      <c r="W71" s="254" t="s">
        <v>135</v>
      </c>
      <c r="X71" s="254" t="s">
        <v>136</v>
      </c>
      <c r="Y71" s="254" t="s">
        <v>57</v>
      </c>
      <c r="Z71" s="254" t="s">
        <v>58</v>
      </c>
      <c r="AA71" s="255" t="s">
        <v>85</v>
      </c>
      <c r="AB71" s="255" t="s">
        <v>244</v>
      </c>
      <c r="AC71" s="255"/>
      <c r="AD71" s="255"/>
      <c r="AE71" s="256" t="s">
        <v>488</v>
      </c>
      <c r="AF71" s="256" t="s">
        <v>542</v>
      </c>
      <c r="AG71" s="256" t="s">
        <v>547</v>
      </c>
    </row>
    <row r="72" spans="1:33" hidden="1" x14ac:dyDescent="0.4">
      <c r="A72" s="118" t="s">
        <v>213</v>
      </c>
      <c r="B72" s="119">
        <v>272800</v>
      </c>
      <c r="C72" s="119">
        <v>176000</v>
      </c>
      <c r="D72" s="119">
        <v>136400</v>
      </c>
      <c r="E72" s="119">
        <v>39600</v>
      </c>
      <c r="F72" s="119" t="s">
        <v>253</v>
      </c>
      <c r="G72" s="118" t="s">
        <v>8</v>
      </c>
      <c r="H72" s="123" t="s">
        <v>299</v>
      </c>
      <c r="I72" s="118" t="s">
        <v>531</v>
      </c>
      <c r="J72" s="118" t="s">
        <v>97</v>
      </c>
      <c r="K72" s="118" t="s">
        <v>104</v>
      </c>
      <c r="L72" s="118" t="s">
        <v>262</v>
      </c>
      <c r="M72" s="120" t="s">
        <v>189</v>
      </c>
      <c r="N72" s="118" t="s">
        <v>27</v>
      </c>
      <c r="O72" s="120" t="s">
        <v>64</v>
      </c>
      <c r="P72" s="120" t="s">
        <v>65</v>
      </c>
      <c r="Q72" s="120" t="s">
        <v>66</v>
      </c>
      <c r="R72" s="120" t="s">
        <v>67</v>
      </c>
      <c r="S72" s="120" t="s">
        <v>68</v>
      </c>
      <c r="T72" s="118" t="s">
        <v>191</v>
      </c>
      <c r="U72" s="118" t="s">
        <v>200</v>
      </c>
      <c r="V72" s="120" t="s">
        <v>193</v>
      </c>
      <c r="W72" s="120" t="s">
        <v>194</v>
      </c>
      <c r="X72" s="120" t="s">
        <v>195</v>
      </c>
      <c r="Y72" s="120" t="s">
        <v>196</v>
      </c>
      <c r="Z72" s="121" t="s">
        <v>197</v>
      </c>
      <c r="AA72" s="127" t="s">
        <v>260</v>
      </c>
      <c r="AB72" s="128" t="s">
        <v>473</v>
      </c>
      <c r="AC72" s="127" t="s">
        <v>308</v>
      </c>
      <c r="AD72" s="127" t="str">
        <f>$C$24&amp;"　様の約1ヵ月以内に発行した印鑑証明書を右記通数ご返送願います。※マイナンバーカードがあれば、コンビニ取得可能です"</f>
        <v>　様の約1ヵ月以内に発行した印鑑証明書を右記通数ご返送願います。※マイナンバーカードがあれば、コンビニ取得可能です</v>
      </c>
      <c r="AE72" s="257" t="s">
        <v>376</v>
      </c>
      <c r="AF72" s="257" t="s">
        <v>543</v>
      </c>
      <c r="AG72" s="257">
        <v>96800</v>
      </c>
    </row>
    <row r="73" spans="1:33" ht="24.75" hidden="1" x14ac:dyDescent="0.4">
      <c r="A73" s="118" t="s">
        <v>214</v>
      </c>
      <c r="B73" s="119">
        <v>437800</v>
      </c>
      <c r="C73" s="119">
        <v>341000</v>
      </c>
      <c r="D73" s="119">
        <v>218900</v>
      </c>
      <c r="E73" s="119">
        <v>122100</v>
      </c>
      <c r="F73" s="119" t="s">
        <v>254</v>
      </c>
      <c r="G73" s="118" t="s">
        <v>9</v>
      </c>
      <c r="H73" s="118" t="s">
        <v>298</v>
      </c>
      <c r="I73" s="118"/>
      <c r="J73" s="118" t="s">
        <v>98</v>
      </c>
      <c r="K73" s="118" t="s">
        <v>105</v>
      </c>
      <c r="L73" s="118" t="s">
        <v>263</v>
      </c>
      <c r="M73" s="120" t="s">
        <v>190</v>
      </c>
      <c r="N73" s="118" t="s">
        <v>28</v>
      </c>
      <c r="O73" s="120" t="s">
        <v>69</v>
      </c>
      <c r="P73" s="121" t="s">
        <v>70</v>
      </c>
      <c r="Q73" s="120" t="s">
        <v>71</v>
      </c>
      <c r="R73" s="120" t="s">
        <v>72</v>
      </c>
      <c r="S73" s="120" t="s">
        <v>79</v>
      </c>
      <c r="T73" s="118" t="s">
        <v>192</v>
      </c>
      <c r="U73" s="118" t="s">
        <v>316</v>
      </c>
      <c r="V73" s="120" t="s">
        <v>59</v>
      </c>
      <c r="W73" s="120" t="s">
        <v>60</v>
      </c>
      <c r="X73" s="120" t="s">
        <v>61</v>
      </c>
      <c r="Y73" s="120" t="s">
        <v>198</v>
      </c>
      <c r="Z73" s="120" t="s">
        <v>199</v>
      </c>
      <c r="AA73" s="129" t="s">
        <v>246</v>
      </c>
      <c r="AB73" s="128" t="s">
        <v>473</v>
      </c>
      <c r="AC73" s="129" t="s">
        <v>309</v>
      </c>
      <c r="AD73" s="129" t="s">
        <v>505</v>
      </c>
      <c r="AE73" s="257" t="s">
        <v>375</v>
      </c>
      <c r="AF73" s="257" t="s">
        <v>544</v>
      </c>
      <c r="AG73" s="257">
        <v>77440</v>
      </c>
    </row>
    <row r="74" spans="1:33" ht="29.25" hidden="1" x14ac:dyDescent="0.4">
      <c r="A74" s="118" t="s">
        <v>212</v>
      </c>
      <c r="B74" s="119">
        <v>547800</v>
      </c>
      <c r="C74" s="119">
        <v>451000</v>
      </c>
      <c r="D74" s="119">
        <v>273900</v>
      </c>
      <c r="E74" s="119">
        <v>177100</v>
      </c>
      <c r="F74" s="119"/>
      <c r="G74" s="118" t="s">
        <v>10</v>
      </c>
      <c r="H74" s="118" t="s">
        <v>285</v>
      </c>
      <c r="I74" s="118"/>
      <c r="J74" s="118" t="s">
        <v>99</v>
      </c>
      <c r="K74" s="118" t="s">
        <v>106</v>
      </c>
      <c r="L74" s="118" t="s">
        <v>264</v>
      </c>
      <c r="M74" s="120"/>
      <c r="N74" s="118" t="s">
        <v>29</v>
      </c>
      <c r="O74" s="120" t="s">
        <v>73</v>
      </c>
      <c r="P74" s="268" t="s">
        <v>557</v>
      </c>
      <c r="Q74" s="120" t="s">
        <v>556</v>
      </c>
      <c r="R74" s="120" t="s">
        <v>74</v>
      </c>
      <c r="S74" s="120" t="s">
        <v>80</v>
      </c>
      <c r="T74" s="122"/>
      <c r="U74" s="122"/>
      <c r="V74" s="122"/>
      <c r="W74" s="122"/>
      <c r="X74" s="122"/>
      <c r="Y74" s="122"/>
      <c r="Z74" s="122"/>
      <c r="AA74" s="129" t="s">
        <v>247</v>
      </c>
      <c r="AB74" s="128" t="s">
        <v>249</v>
      </c>
      <c r="AC74" s="129" t="s">
        <v>504</v>
      </c>
      <c r="AD74" s="129" t="s">
        <v>310</v>
      </c>
      <c r="AE74" s="257" t="s">
        <v>377</v>
      </c>
      <c r="AF74" s="257" t="s">
        <v>545</v>
      </c>
      <c r="AG74" s="257"/>
    </row>
    <row r="75" spans="1:33" ht="33" hidden="1" x14ac:dyDescent="0.4">
      <c r="A75" s="118" t="s">
        <v>302</v>
      </c>
      <c r="B75" s="119"/>
      <c r="C75" s="119"/>
      <c r="D75" s="119"/>
      <c r="E75" s="119"/>
      <c r="F75" s="119"/>
      <c r="G75" s="118" t="s">
        <v>11</v>
      </c>
      <c r="H75" s="118" t="s">
        <v>585</v>
      </c>
      <c r="I75" s="118"/>
      <c r="J75" s="118" t="s">
        <v>100</v>
      </c>
      <c r="K75" s="118" t="s">
        <v>107</v>
      </c>
      <c r="L75" s="118" t="s">
        <v>266</v>
      </c>
      <c r="M75" s="118"/>
      <c r="N75" s="118" t="s">
        <v>30</v>
      </c>
      <c r="O75" s="120" t="s">
        <v>75</v>
      </c>
      <c r="P75" s="121" t="s">
        <v>76</v>
      </c>
      <c r="Q75" s="120" t="s">
        <v>77</v>
      </c>
      <c r="R75" s="120" t="s">
        <v>78</v>
      </c>
      <c r="S75" s="120" t="s">
        <v>81</v>
      </c>
      <c r="T75" s="122"/>
      <c r="U75" s="122"/>
      <c r="V75" s="122"/>
      <c r="W75" s="122"/>
      <c r="X75" s="122"/>
      <c r="Y75" s="122"/>
      <c r="Z75" s="122"/>
      <c r="AA75" s="129" t="s">
        <v>326</v>
      </c>
      <c r="AB75" s="128" t="s">
        <v>248</v>
      </c>
      <c r="AC75" s="129" t="s">
        <v>311</v>
      </c>
      <c r="AD75" s="129" t="s">
        <v>506</v>
      </c>
      <c r="AE75" s="257" t="s">
        <v>378</v>
      </c>
      <c r="AF75" s="257" t="s">
        <v>546</v>
      </c>
      <c r="AG75" s="257"/>
    </row>
    <row r="76" spans="1:33" ht="24.75" hidden="1" x14ac:dyDescent="0.4">
      <c r="A76" s="118" t="s">
        <v>321</v>
      </c>
      <c r="B76" s="119"/>
      <c r="C76" s="119"/>
      <c r="D76" s="119"/>
      <c r="E76" s="119"/>
      <c r="F76" s="119"/>
      <c r="G76" s="118" t="s">
        <v>12</v>
      </c>
      <c r="H76" s="118" t="s">
        <v>286</v>
      </c>
      <c r="I76" s="118"/>
      <c r="J76" s="118" t="s">
        <v>101</v>
      </c>
      <c r="K76" s="118" t="s">
        <v>108</v>
      </c>
      <c r="L76" s="118" t="s">
        <v>268</v>
      </c>
      <c r="M76" s="118"/>
      <c r="N76" s="118" t="s">
        <v>31</v>
      </c>
      <c r="O76" s="120" t="s">
        <v>59</v>
      </c>
      <c r="P76" s="121" t="s">
        <v>60</v>
      </c>
      <c r="Q76" s="120" t="s">
        <v>61</v>
      </c>
      <c r="R76" s="120" t="s">
        <v>62</v>
      </c>
      <c r="S76" s="120" t="s">
        <v>63</v>
      </c>
      <c r="T76" s="122"/>
      <c r="U76" s="122"/>
      <c r="V76" s="122"/>
      <c r="W76" s="122"/>
      <c r="X76" s="122"/>
      <c r="Y76" s="122"/>
      <c r="Z76" s="122"/>
      <c r="AA76" s="129" t="s">
        <v>490</v>
      </c>
      <c r="AB76" s="128" t="s">
        <v>509</v>
      </c>
      <c r="AC76" s="129" t="s">
        <v>322</v>
      </c>
      <c r="AD76" s="129" t="s">
        <v>323</v>
      </c>
      <c r="AE76" s="257" t="s">
        <v>390</v>
      </c>
      <c r="AF76" s="259"/>
      <c r="AG76" s="259"/>
    </row>
    <row r="77" spans="1:33" ht="24.75" hidden="1" x14ac:dyDescent="0.4">
      <c r="A77" s="118"/>
      <c r="B77" s="119"/>
      <c r="C77" s="119"/>
      <c r="D77" s="119"/>
      <c r="E77" s="119"/>
      <c r="F77" s="119"/>
      <c r="G77" s="118" t="s">
        <v>13</v>
      </c>
      <c r="H77" s="118" t="s">
        <v>300</v>
      </c>
      <c r="I77" s="118"/>
      <c r="J77" s="118" t="s">
        <v>102</v>
      </c>
      <c r="K77" s="118" t="s">
        <v>109</v>
      </c>
      <c r="L77" s="118" t="s">
        <v>270</v>
      </c>
      <c r="M77" s="118"/>
      <c r="N77" s="118"/>
      <c r="O77" s="120"/>
      <c r="P77" s="121"/>
      <c r="Q77" s="120"/>
      <c r="R77" s="120"/>
      <c r="S77" s="120"/>
      <c r="T77" s="122"/>
      <c r="U77" s="122"/>
      <c r="V77" s="122"/>
      <c r="W77" s="122"/>
      <c r="X77" s="122"/>
      <c r="Y77" s="122"/>
      <c r="Z77" s="122"/>
      <c r="AA77" s="129" t="s">
        <v>251</v>
      </c>
      <c r="AB77" s="128" t="s">
        <v>257</v>
      </c>
      <c r="AC77" s="129" t="s">
        <v>510</v>
      </c>
      <c r="AD77" s="129" t="s">
        <v>385</v>
      </c>
      <c r="AE77" s="257" t="s">
        <v>391</v>
      </c>
      <c r="AF77" s="259"/>
      <c r="AG77" s="259"/>
    </row>
    <row r="78" spans="1:33" ht="24.75" hidden="1" x14ac:dyDescent="0.4">
      <c r="A78" s="118"/>
      <c r="B78" s="119"/>
      <c r="C78" s="119"/>
      <c r="D78" s="119"/>
      <c r="E78" s="119"/>
      <c r="F78" s="119"/>
      <c r="G78" s="118" t="s">
        <v>448</v>
      </c>
      <c r="H78" s="118" t="s">
        <v>287</v>
      </c>
      <c r="I78" s="118"/>
      <c r="J78" s="118" t="s">
        <v>471</v>
      </c>
      <c r="K78" s="118" t="s">
        <v>110</v>
      </c>
      <c r="L78" s="118" t="s">
        <v>272</v>
      </c>
      <c r="M78" s="118"/>
      <c r="N78" s="118"/>
      <c r="O78" s="120"/>
      <c r="P78" s="120"/>
      <c r="Q78" s="120"/>
      <c r="R78" s="120"/>
      <c r="S78" s="120"/>
      <c r="T78" s="122"/>
      <c r="U78" s="122"/>
      <c r="V78" s="122"/>
      <c r="W78" s="122"/>
      <c r="X78" s="122"/>
      <c r="Y78" s="122"/>
      <c r="Z78" s="122"/>
      <c r="AA78" s="129" t="s">
        <v>329</v>
      </c>
      <c r="AB78" s="128" t="s">
        <v>257</v>
      </c>
      <c r="AC78" s="127" t="s">
        <v>452</v>
      </c>
      <c r="AD78" s="127" t="str">
        <f>$C$24&amp;"　様の約1ヵ月以内に発行した印鑑証明書を右記通数ご返送願います。"</f>
        <v>　様の約1ヵ月以内に発行した印鑑証明書を右記通数ご返送願います。</v>
      </c>
      <c r="AE78" s="257" t="s">
        <v>392</v>
      </c>
      <c r="AF78" s="259"/>
      <c r="AG78" s="259"/>
    </row>
    <row r="79" spans="1:33" hidden="1" x14ac:dyDescent="0.4">
      <c r="A79" s="118"/>
      <c r="B79" s="119"/>
      <c r="C79" s="119"/>
      <c r="D79" s="119"/>
      <c r="E79" s="119"/>
      <c r="F79" s="119"/>
      <c r="G79" s="118" t="s">
        <v>14</v>
      </c>
      <c r="H79" s="118" t="s">
        <v>288</v>
      </c>
      <c r="I79" s="118"/>
      <c r="J79" s="118" t="s">
        <v>520</v>
      </c>
      <c r="K79" s="118" t="s">
        <v>111</v>
      </c>
      <c r="L79" s="118" t="s">
        <v>265</v>
      </c>
      <c r="M79" s="118"/>
      <c r="N79" s="118"/>
      <c r="O79" s="120"/>
      <c r="P79" s="120"/>
      <c r="Q79" s="120"/>
      <c r="R79" s="120"/>
      <c r="S79" s="120"/>
      <c r="T79" s="122"/>
      <c r="U79" s="122"/>
      <c r="V79" s="122"/>
      <c r="W79" s="122"/>
      <c r="X79" s="122"/>
      <c r="Y79" s="122"/>
      <c r="Z79" s="122"/>
      <c r="AA79" s="129" t="s">
        <v>261</v>
      </c>
      <c r="AB79" s="128" t="s">
        <v>103</v>
      </c>
      <c r="AC79" s="129"/>
      <c r="AD79" s="129"/>
      <c r="AE79" s="257" t="s">
        <v>393</v>
      </c>
      <c r="AF79" s="259"/>
      <c r="AG79" s="259"/>
    </row>
    <row r="80" spans="1:33" hidden="1" x14ac:dyDescent="0.4">
      <c r="A80" s="118"/>
      <c r="B80" s="118"/>
      <c r="C80" s="118"/>
      <c r="D80" s="118"/>
      <c r="E80" s="118"/>
      <c r="F80" s="118"/>
      <c r="G80" s="118" t="s">
        <v>15</v>
      </c>
      <c r="H80" s="123" t="s">
        <v>590</v>
      </c>
      <c r="I80" s="118"/>
      <c r="J80" s="118" t="s">
        <v>516</v>
      </c>
      <c r="K80" s="118" t="s">
        <v>112</v>
      </c>
      <c r="L80" s="118" t="s">
        <v>267</v>
      </c>
      <c r="M80" s="120"/>
      <c r="N80" s="118"/>
      <c r="O80" s="120"/>
      <c r="P80" s="120"/>
      <c r="Q80" s="120"/>
      <c r="R80" s="120"/>
      <c r="S80" s="120"/>
      <c r="T80" s="122"/>
      <c r="U80" s="122"/>
      <c r="V80" s="122"/>
      <c r="W80" s="122"/>
      <c r="X80" s="122"/>
      <c r="Y80" s="122"/>
      <c r="Z80" s="122"/>
      <c r="AA80" s="129" t="s">
        <v>450</v>
      </c>
      <c r="AB80" s="128" t="s">
        <v>103</v>
      </c>
      <c r="AC80" s="129"/>
      <c r="AD80" s="129"/>
      <c r="AE80" s="257" t="s">
        <v>396</v>
      </c>
      <c r="AF80" s="259"/>
      <c r="AG80" s="259"/>
    </row>
    <row r="81" spans="1:33" hidden="1" x14ac:dyDescent="0.4">
      <c r="A81" s="118"/>
      <c r="B81" s="118"/>
      <c r="C81" s="118"/>
      <c r="D81" s="118"/>
      <c r="E81" s="118"/>
      <c r="F81" s="118"/>
      <c r="G81" s="118" t="s">
        <v>16</v>
      </c>
      <c r="H81" s="118" t="s">
        <v>290</v>
      </c>
      <c r="I81" s="118"/>
      <c r="J81" s="118" t="s">
        <v>517</v>
      </c>
      <c r="K81" s="118" t="s">
        <v>113</v>
      </c>
      <c r="L81" s="118" t="s">
        <v>269</v>
      </c>
      <c r="M81" s="120"/>
      <c r="N81" s="118"/>
      <c r="O81" s="120"/>
      <c r="P81" s="120"/>
      <c r="Q81" s="120"/>
      <c r="R81" s="120"/>
      <c r="S81" s="120"/>
      <c r="T81" s="122"/>
      <c r="U81" s="122"/>
      <c r="V81" s="122"/>
      <c r="W81" s="122"/>
      <c r="X81" s="122"/>
      <c r="Y81" s="122"/>
      <c r="Z81" s="122"/>
      <c r="AA81" s="129" t="s">
        <v>388</v>
      </c>
      <c r="AB81" s="145" t="s">
        <v>456</v>
      </c>
      <c r="AC81" s="129"/>
      <c r="AD81" s="129"/>
      <c r="AE81" s="257" t="s">
        <v>397</v>
      </c>
      <c r="AF81" s="259"/>
      <c r="AG81" s="259"/>
    </row>
    <row r="82" spans="1:33" hidden="1" x14ac:dyDescent="0.4">
      <c r="A82" s="118"/>
      <c r="B82" s="118"/>
      <c r="C82" s="118"/>
      <c r="D82" s="118"/>
      <c r="E82" s="118"/>
      <c r="F82" s="118"/>
      <c r="G82" s="118" t="s">
        <v>17</v>
      </c>
      <c r="H82" s="118" t="s">
        <v>297</v>
      </c>
      <c r="I82" s="118"/>
      <c r="J82" s="118" t="s">
        <v>541</v>
      </c>
      <c r="K82" s="118" t="s">
        <v>470</v>
      </c>
      <c r="L82" s="118" t="s">
        <v>271</v>
      </c>
      <c r="M82" s="120"/>
      <c r="N82" s="118"/>
      <c r="O82" s="120"/>
      <c r="P82" s="120"/>
      <c r="Q82" s="120"/>
      <c r="R82" s="120"/>
      <c r="S82" s="120"/>
      <c r="T82" s="122"/>
      <c r="U82" s="122"/>
      <c r="V82" s="122"/>
      <c r="W82" s="122"/>
      <c r="X82" s="122"/>
      <c r="Y82" s="122"/>
      <c r="Z82" s="122"/>
      <c r="AA82" s="129" t="s">
        <v>502</v>
      </c>
      <c r="AB82" s="128" t="s">
        <v>503</v>
      </c>
      <c r="AC82" s="129"/>
      <c r="AD82" s="129"/>
      <c r="AE82" s="257" t="s">
        <v>398</v>
      </c>
      <c r="AF82" s="259"/>
      <c r="AG82" s="259"/>
    </row>
    <row r="83" spans="1:33" hidden="1" x14ac:dyDescent="0.4">
      <c r="A83" s="118"/>
      <c r="B83" s="118"/>
      <c r="C83" s="118"/>
      <c r="D83" s="118"/>
      <c r="E83" s="118"/>
      <c r="F83" s="118"/>
      <c r="G83" s="118" t="s">
        <v>18</v>
      </c>
      <c r="H83" s="118" t="s">
        <v>291</v>
      </c>
      <c r="I83" s="118"/>
      <c r="J83" s="118" t="s">
        <v>540</v>
      </c>
      <c r="K83" s="118" t="s">
        <v>469</v>
      </c>
      <c r="L83" s="118" t="s">
        <v>273</v>
      </c>
      <c r="M83" s="120"/>
      <c r="N83" s="118"/>
      <c r="O83" s="120"/>
      <c r="P83" s="120"/>
      <c r="Q83" s="120"/>
      <c r="R83" s="120"/>
      <c r="S83" s="120"/>
      <c r="T83" s="122"/>
      <c r="U83" s="122"/>
      <c r="V83" s="122"/>
      <c r="W83" s="122"/>
      <c r="X83" s="122"/>
      <c r="Y83" s="122"/>
      <c r="Z83" s="122"/>
      <c r="AA83" s="129"/>
      <c r="AB83" s="130"/>
      <c r="AC83" s="129"/>
      <c r="AD83" s="129"/>
      <c r="AE83" s="257" t="s">
        <v>400</v>
      </c>
      <c r="AF83" s="259"/>
      <c r="AG83" s="259"/>
    </row>
    <row r="84" spans="1:33" hidden="1" x14ac:dyDescent="0.4">
      <c r="A84" s="118"/>
      <c r="B84" s="118"/>
      <c r="C84" s="118"/>
      <c r="D84" s="118"/>
      <c r="E84" s="118"/>
      <c r="F84" s="118"/>
      <c r="G84" s="118" t="s">
        <v>19</v>
      </c>
      <c r="H84" s="118" t="s">
        <v>292</v>
      </c>
      <c r="I84" s="118"/>
      <c r="J84" s="118" t="s">
        <v>570</v>
      </c>
      <c r="K84" s="118" t="s">
        <v>496</v>
      </c>
      <c r="L84" s="118" t="s">
        <v>274</v>
      </c>
      <c r="M84" s="120"/>
      <c r="N84" s="118"/>
      <c r="O84" s="120"/>
      <c r="P84" s="120"/>
      <c r="Q84" s="120"/>
      <c r="R84" s="120"/>
      <c r="S84" s="120"/>
      <c r="T84" s="122"/>
      <c r="U84" s="122"/>
      <c r="V84" s="122"/>
      <c r="W84" s="122"/>
      <c r="X84" s="122"/>
      <c r="Y84" s="122"/>
      <c r="Z84" s="122"/>
      <c r="AA84" s="129"/>
      <c r="AB84" s="130"/>
      <c r="AC84" s="129"/>
      <c r="AD84" s="129"/>
      <c r="AE84" s="257" t="s">
        <v>401</v>
      </c>
      <c r="AF84" s="259"/>
      <c r="AG84" s="259"/>
    </row>
    <row r="85" spans="1:33" hidden="1" x14ac:dyDescent="0.4">
      <c r="A85" s="118"/>
      <c r="B85" s="118"/>
      <c r="C85" s="118"/>
      <c r="D85" s="118"/>
      <c r="E85" s="118"/>
      <c r="F85" s="118"/>
      <c r="G85" s="118" t="s">
        <v>449</v>
      </c>
      <c r="H85" s="118" t="s">
        <v>293</v>
      </c>
      <c r="I85" s="118"/>
      <c r="J85" s="118" t="s">
        <v>578</v>
      </c>
      <c r="K85" s="118" t="s">
        <v>497</v>
      </c>
      <c r="L85" s="118" t="s">
        <v>386</v>
      </c>
      <c r="M85" s="120"/>
      <c r="N85" s="118"/>
      <c r="O85" s="120"/>
      <c r="P85" s="120"/>
      <c r="Q85" s="120"/>
      <c r="R85" s="120"/>
      <c r="S85" s="120"/>
      <c r="T85" s="122"/>
      <c r="U85" s="122"/>
      <c r="V85" s="122"/>
      <c r="W85" s="122"/>
      <c r="X85" s="122"/>
      <c r="Y85" s="122"/>
      <c r="Z85" s="122"/>
      <c r="AA85" s="129"/>
      <c r="AB85" s="130"/>
      <c r="AC85" s="129"/>
      <c r="AD85" s="129"/>
      <c r="AE85" s="257" t="s">
        <v>402</v>
      </c>
      <c r="AF85" s="259"/>
      <c r="AG85" s="259"/>
    </row>
    <row r="86" spans="1:33" hidden="1" x14ac:dyDescent="0.4">
      <c r="A86" s="118"/>
      <c r="B86" s="118"/>
      <c r="C86" s="118"/>
      <c r="D86" s="118"/>
      <c r="E86" s="118"/>
      <c r="F86" s="118"/>
      <c r="G86" s="118" t="s">
        <v>20</v>
      </c>
      <c r="H86" s="123" t="s">
        <v>582</v>
      </c>
      <c r="I86" s="118"/>
      <c r="J86" s="118" t="s">
        <v>580</v>
      </c>
      <c r="K86" s="118" t="s">
        <v>498</v>
      </c>
      <c r="L86" s="118" t="s">
        <v>282</v>
      </c>
      <c r="M86" s="120"/>
      <c r="N86" s="120"/>
      <c r="O86" s="120"/>
      <c r="P86" s="120"/>
      <c r="Q86" s="120"/>
      <c r="R86" s="120"/>
      <c r="S86" s="120"/>
      <c r="T86" s="122"/>
      <c r="U86" s="122"/>
      <c r="V86" s="122"/>
      <c r="W86" s="122"/>
      <c r="X86" s="122"/>
      <c r="Y86" s="122"/>
      <c r="Z86" s="122"/>
      <c r="AA86" s="129"/>
      <c r="AB86" s="130"/>
      <c r="AC86" s="129"/>
      <c r="AD86" s="129"/>
      <c r="AE86" s="257" t="s">
        <v>403</v>
      </c>
      <c r="AF86" s="259"/>
      <c r="AG86" s="259"/>
    </row>
    <row r="87" spans="1:33" hidden="1" x14ac:dyDescent="0.4">
      <c r="A87" s="118"/>
      <c r="B87" s="118"/>
      <c r="C87" s="118"/>
      <c r="D87" s="118"/>
      <c r="E87" s="118"/>
      <c r="F87" s="118"/>
      <c r="G87" s="118" t="s">
        <v>21</v>
      </c>
      <c r="H87" s="118" t="s">
        <v>296</v>
      </c>
      <c r="I87" s="118"/>
      <c r="J87" s="118" t="s">
        <v>606</v>
      </c>
      <c r="K87" s="118" t="s">
        <v>514</v>
      </c>
      <c r="L87" s="118" t="s">
        <v>283</v>
      </c>
      <c r="M87" s="120"/>
      <c r="N87" s="120"/>
      <c r="O87" s="120"/>
      <c r="P87" s="120"/>
      <c r="Q87" s="120"/>
      <c r="R87" s="120"/>
      <c r="S87" s="120"/>
      <c r="T87" s="122"/>
      <c r="U87" s="122"/>
      <c r="V87" s="122"/>
      <c r="W87" s="122"/>
      <c r="X87" s="122"/>
      <c r="Y87" s="122"/>
      <c r="Z87" s="122"/>
      <c r="AA87" s="129"/>
      <c r="AB87" s="130"/>
      <c r="AC87" s="129"/>
      <c r="AD87" s="129"/>
      <c r="AE87" s="257" t="s">
        <v>404</v>
      </c>
      <c r="AF87" s="259"/>
      <c r="AG87" s="259"/>
    </row>
    <row r="88" spans="1:33" hidden="1" x14ac:dyDescent="0.4">
      <c r="A88" s="118"/>
      <c r="B88" s="118"/>
      <c r="C88" s="118"/>
      <c r="D88" s="118"/>
      <c r="E88" s="118"/>
      <c r="F88" s="118"/>
      <c r="G88" s="118" t="s">
        <v>22</v>
      </c>
      <c r="H88" s="118" t="s">
        <v>586</v>
      </c>
      <c r="I88" s="118"/>
      <c r="J88" s="118"/>
      <c r="K88" s="118" t="s">
        <v>513</v>
      </c>
      <c r="L88" s="118" t="s">
        <v>280</v>
      </c>
      <c r="M88" s="118"/>
      <c r="N88" s="122"/>
      <c r="O88" s="122"/>
      <c r="P88" s="122"/>
      <c r="Q88" s="122"/>
      <c r="R88" s="122"/>
      <c r="S88" s="122"/>
      <c r="T88" s="122"/>
      <c r="U88" s="122"/>
      <c r="V88" s="122"/>
      <c r="W88" s="122"/>
      <c r="X88" s="122"/>
      <c r="Y88" s="122"/>
      <c r="Z88" s="122"/>
      <c r="AA88" s="129"/>
      <c r="AB88" s="130"/>
      <c r="AC88" s="129"/>
      <c r="AD88" s="129"/>
      <c r="AE88" s="257" t="s">
        <v>405</v>
      </c>
      <c r="AF88" s="259"/>
      <c r="AG88" s="259"/>
    </row>
    <row r="89" spans="1:33" hidden="1" x14ac:dyDescent="0.4">
      <c r="A89" s="118"/>
      <c r="B89" s="118"/>
      <c r="C89" s="118"/>
      <c r="D89" s="118"/>
      <c r="E89" s="118"/>
      <c r="F89" s="118"/>
      <c r="G89" s="118" t="s">
        <v>23</v>
      </c>
      <c r="H89" s="118" t="s">
        <v>295</v>
      </c>
      <c r="I89" s="118"/>
      <c r="J89" s="118"/>
      <c r="K89" s="118" t="s">
        <v>523</v>
      </c>
      <c r="L89" s="118" t="s">
        <v>281</v>
      </c>
      <c r="M89" s="118"/>
      <c r="N89" s="122"/>
      <c r="O89" s="122"/>
      <c r="P89" s="122"/>
      <c r="Q89" s="122"/>
      <c r="R89" s="122"/>
      <c r="S89" s="122"/>
      <c r="T89" s="122"/>
      <c r="U89" s="122"/>
      <c r="V89" s="122"/>
      <c r="W89" s="122"/>
      <c r="X89" s="122"/>
      <c r="Y89" s="122"/>
      <c r="Z89" s="122"/>
      <c r="AA89" s="129"/>
      <c r="AB89" s="130"/>
      <c r="AC89" s="129"/>
      <c r="AD89" s="129"/>
      <c r="AE89" s="257" t="s">
        <v>406</v>
      </c>
      <c r="AF89" s="259"/>
      <c r="AG89" s="259"/>
    </row>
    <row r="90" spans="1:33" hidden="1" x14ac:dyDescent="0.4">
      <c r="A90" s="118"/>
      <c r="B90" s="118"/>
      <c r="C90" s="118"/>
      <c r="D90" s="118"/>
      <c r="E90" s="118"/>
      <c r="F90" s="118"/>
      <c r="G90" s="118" t="s">
        <v>24</v>
      </c>
      <c r="H90" s="118" t="s">
        <v>301</v>
      </c>
      <c r="I90" s="118"/>
      <c r="J90" s="118" t="s">
        <v>103</v>
      </c>
      <c r="K90" s="118" t="s">
        <v>524</v>
      </c>
      <c r="L90" s="118" t="s">
        <v>275</v>
      </c>
      <c r="M90" s="118"/>
      <c r="N90" s="122"/>
      <c r="O90" s="122"/>
      <c r="P90" s="122"/>
      <c r="Q90" s="122"/>
      <c r="R90" s="122"/>
      <c r="S90" s="122"/>
      <c r="T90" s="122"/>
      <c r="U90" s="122"/>
      <c r="V90" s="122"/>
      <c r="W90" s="122"/>
      <c r="X90" s="122"/>
      <c r="Y90" s="122"/>
      <c r="Z90" s="122"/>
      <c r="AA90" s="129"/>
      <c r="AB90" s="130"/>
      <c r="AC90" s="129"/>
      <c r="AD90" s="129"/>
      <c r="AE90" s="257" t="s">
        <v>394</v>
      </c>
      <c r="AF90" s="259"/>
      <c r="AG90" s="259"/>
    </row>
    <row r="91" spans="1:33" hidden="1" x14ac:dyDescent="0.4">
      <c r="A91" s="118"/>
      <c r="B91" s="118"/>
      <c r="C91" s="118"/>
      <c r="D91" s="118"/>
      <c r="E91" s="118"/>
      <c r="F91" s="118"/>
      <c r="G91" s="118" t="s">
        <v>25</v>
      </c>
      <c r="H91" s="118" t="s">
        <v>294</v>
      </c>
      <c r="I91" s="118"/>
      <c r="J91" s="118" t="s">
        <v>103</v>
      </c>
      <c r="K91" s="118" t="s">
        <v>525</v>
      </c>
      <c r="L91" s="118" t="s">
        <v>276</v>
      </c>
      <c r="M91" s="118"/>
      <c r="N91" s="122"/>
      <c r="O91" s="122"/>
      <c r="P91" s="122"/>
      <c r="Q91" s="122"/>
      <c r="R91" s="122"/>
      <c r="S91" s="122"/>
      <c r="T91" s="122"/>
      <c r="U91" s="122"/>
      <c r="V91" s="122"/>
      <c r="W91" s="122"/>
      <c r="X91" s="122"/>
      <c r="Y91" s="122"/>
      <c r="Z91" s="122"/>
      <c r="AA91" s="129"/>
      <c r="AB91" s="130"/>
      <c r="AC91" s="129"/>
      <c r="AD91" s="129"/>
      <c r="AE91" s="257" t="s">
        <v>407</v>
      </c>
      <c r="AF91" s="259"/>
      <c r="AG91" s="259"/>
    </row>
    <row r="92" spans="1:33" hidden="1" x14ac:dyDescent="0.4">
      <c r="A92" s="118"/>
      <c r="B92" s="118"/>
      <c r="C92" s="118"/>
      <c r="D92" s="118"/>
      <c r="E92" s="118"/>
      <c r="F92" s="118"/>
      <c r="G92" s="118" t="s">
        <v>289</v>
      </c>
      <c r="H92" s="118" t="s">
        <v>587</v>
      </c>
      <c r="I92" s="118"/>
      <c r="J92" s="118" t="s">
        <v>103</v>
      </c>
      <c r="K92" s="118" t="s">
        <v>526</v>
      </c>
      <c r="L92" s="118" t="s">
        <v>277</v>
      </c>
      <c r="M92" s="118"/>
      <c r="N92" s="122"/>
      <c r="O92" s="122"/>
      <c r="P92" s="122"/>
      <c r="Q92" s="122"/>
      <c r="R92" s="122"/>
      <c r="S92" s="122"/>
      <c r="T92" s="122"/>
      <c r="U92" s="122"/>
      <c r="V92" s="122"/>
      <c r="W92" s="122"/>
      <c r="X92" s="122"/>
      <c r="Y92" s="122"/>
      <c r="Z92" s="122"/>
      <c r="AA92" s="129"/>
      <c r="AB92" s="130"/>
      <c r="AC92" s="129"/>
      <c r="AD92" s="129"/>
      <c r="AE92" s="257" t="s">
        <v>399</v>
      </c>
      <c r="AF92" s="259"/>
      <c r="AG92" s="259"/>
    </row>
    <row r="93" spans="1:33" hidden="1" x14ac:dyDescent="0.4">
      <c r="A93" s="118"/>
      <c r="B93" s="118"/>
      <c r="C93" s="118"/>
      <c r="D93" s="118"/>
      <c r="E93" s="118"/>
      <c r="F93" s="118"/>
      <c r="G93" s="118" t="s">
        <v>454</v>
      </c>
      <c r="H93" s="118" t="s">
        <v>455</v>
      </c>
      <c r="I93" s="118"/>
      <c r="J93" s="118" t="s">
        <v>103</v>
      </c>
      <c r="K93" s="118" t="s">
        <v>530</v>
      </c>
      <c r="L93" s="118" t="s">
        <v>598</v>
      </c>
      <c r="M93" s="120"/>
      <c r="N93" s="122"/>
      <c r="O93" s="122"/>
      <c r="P93" s="122"/>
      <c r="Q93" s="122"/>
      <c r="R93" s="122"/>
      <c r="S93" s="122"/>
      <c r="T93" s="122"/>
      <c r="U93" s="122"/>
      <c r="V93" s="122"/>
      <c r="W93" s="122"/>
      <c r="X93" s="122"/>
      <c r="Y93" s="122"/>
      <c r="Z93" s="122"/>
      <c r="AA93" s="129"/>
      <c r="AB93" s="130"/>
      <c r="AC93" s="129"/>
      <c r="AD93" s="129"/>
      <c r="AE93" s="257" t="s">
        <v>379</v>
      </c>
      <c r="AF93" s="259"/>
      <c r="AG93" s="259"/>
    </row>
    <row r="94" spans="1:33" hidden="1" x14ac:dyDescent="0.4">
      <c r="A94" s="118"/>
      <c r="B94" s="118"/>
      <c r="C94" s="118"/>
      <c r="D94" s="118"/>
      <c r="E94" s="118"/>
      <c r="F94" s="118"/>
      <c r="G94" s="118" t="s">
        <v>467</v>
      </c>
      <c r="H94" s="118" t="s">
        <v>466</v>
      </c>
      <c r="I94" s="118"/>
      <c r="J94" s="118" t="s">
        <v>103</v>
      </c>
      <c r="K94" s="118" t="s">
        <v>533</v>
      </c>
      <c r="L94" s="118" t="s">
        <v>278</v>
      </c>
      <c r="M94" s="120"/>
      <c r="N94" s="122"/>
      <c r="O94" s="122"/>
      <c r="P94" s="122"/>
      <c r="Q94" s="122"/>
      <c r="R94" s="122"/>
      <c r="S94" s="122"/>
      <c r="T94" s="122"/>
      <c r="U94" s="122"/>
      <c r="V94" s="122"/>
      <c r="W94" s="122"/>
      <c r="X94" s="122"/>
      <c r="Y94" s="122"/>
      <c r="Z94" s="122"/>
      <c r="AA94" s="129"/>
      <c r="AB94" s="130"/>
      <c r="AC94" s="129"/>
      <c r="AD94" s="129"/>
      <c r="AE94" s="257" t="s">
        <v>430</v>
      </c>
      <c r="AF94" s="259"/>
      <c r="AG94" s="259"/>
    </row>
    <row r="95" spans="1:33" hidden="1" x14ac:dyDescent="0.4">
      <c r="A95" s="118"/>
      <c r="B95" s="118"/>
      <c r="C95" s="118"/>
      <c r="D95" s="118"/>
      <c r="E95" s="118"/>
      <c r="F95" s="118"/>
      <c r="G95" s="118" t="s">
        <v>468</v>
      </c>
      <c r="H95" s="118" t="s">
        <v>583</v>
      </c>
      <c r="I95" s="118"/>
      <c r="J95" s="118"/>
      <c r="K95" s="118" t="s">
        <v>536</v>
      </c>
      <c r="L95" s="118" t="s">
        <v>279</v>
      </c>
      <c r="M95" s="120"/>
      <c r="N95" s="122"/>
      <c r="O95" s="122"/>
      <c r="P95" s="122"/>
      <c r="Q95" s="122"/>
      <c r="R95" s="122"/>
      <c r="S95" s="122"/>
      <c r="T95" s="122"/>
      <c r="U95" s="122"/>
      <c r="V95" s="122"/>
      <c r="W95" s="122"/>
      <c r="X95" s="122"/>
      <c r="Y95" s="122"/>
      <c r="Z95" s="122"/>
      <c r="AA95" s="129"/>
      <c r="AB95" s="130"/>
      <c r="AC95" s="129"/>
      <c r="AD95" s="129"/>
      <c r="AE95" s="257" t="s">
        <v>380</v>
      </c>
      <c r="AF95" s="259"/>
      <c r="AG95" s="259"/>
    </row>
    <row r="96" spans="1:33" hidden="1" x14ac:dyDescent="0.4">
      <c r="A96" s="118"/>
      <c r="B96" s="118"/>
      <c r="C96" s="118"/>
      <c r="D96" s="118"/>
      <c r="E96" s="118"/>
      <c r="F96" s="118"/>
      <c r="G96" s="118" t="s">
        <v>472</v>
      </c>
      <c r="H96" s="118" t="s">
        <v>78</v>
      </c>
      <c r="I96" s="118"/>
      <c r="J96" s="118" t="s">
        <v>103</v>
      </c>
      <c r="K96" s="118" t="s">
        <v>539</v>
      </c>
      <c r="L96" s="118" t="s">
        <v>387</v>
      </c>
      <c r="M96" s="120"/>
      <c r="N96" s="122"/>
      <c r="O96" s="122"/>
      <c r="P96" s="122"/>
      <c r="Q96" s="122"/>
      <c r="R96" s="122"/>
      <c r="S96" s="122"/>
      <c r="T96" s="122"/>
      <c r="U96" s="122"/>
      <c r="V96" s="122"/>
      <c r="W96" s="122"/>
      <c r="X96" s="122"/>
      <c r="Y96" s="122"/>
      <c r="Z96" s="122"/>
      <c r="AA96" s="130"/>
      <c r="AB96" s="130"/>
      <c r="AC96" s="130"/>
      <c r="AD96" s="130"/>
      <c r="AE96" s="257" t="s">
        <v>381</v>
      </c>
      <c r="AF96" s="259"/>
      <c r="AG96" s="259"/>
    </row>
    <row r="97" spans="1:33" hidden="1" x14ac:dyDescent="0.4">
      <c r="A97" s="118"/>
      <c r="B97" s="118"/>
      <c r="C97" s="118"/>
      <c r="D97" s="118"/>
      <c r="E97" s="118"/>
      <c r="F97" s="118"/>
      <c r="G97" s="118" t="s">
        <v>499</v>
      </c>
      <c r="H97" s="118" t="s">
        <v>67</v>
      </c>
      <c r="I97" s="118"/>
      <c r="J97" s="118" t="s">
        <v>103</v>
      </c>
      <c r="K97" s="118" t="s">
        <v>562</v>
      </c>
      <c r="L97" s="118"/>
      <c r="M97" s="120"/>
      <c r="N97" s="122"/>
      <c r="O97" s="122"/>
      <c r="P97" s="122"/>
      <c r="Q97" s="122"/>
      <c r="R97" s="122"/>
      <c r="S97" s="122"/>
      <c r="T97" s="122"/>
      <c r="U97" s="122"/>
      <c r="V97" s="122"/>
      <c r="W97" s="122"/>
      <c r="X97" s="122"/>
      <c r="Y97" s="122"/>
      <c r="Z97" s="122"/>
      <c r="AA97" s="130"/>
      <c r="AB97" s="130"/>
      <c r="AC97" s="130"/>
      <c r="AD97" s="130"/>
      <c r="AE97" s="257" t="s">
        <v>382</v>
      </c>
      <c r="AF97" s="259"/>
      <c r="AG97" s="259"/>
    </row>
    <row r="98" spans="1:33" hidden="1" x14ac:dyDescent="0.4">
      <c r="A98" s="118"/>
      <c r="B98" s="118"/>
      <c r="C98" s="118"/>
      <c r="D98" s="118"/>
      <c r="E98" s="118"/>
      <c r="F98" s="118"/>
      <c r="G98" s="118" t="s">
        <v>500</v>
      </c>
      <c r="H98" s="118" t="s">
        <v>588</v>
      </c>
      <c r="I98" s="118"/>
      <c r="J98" s="118" t="s">
        <v>103</v>
      </c>
      <c r="K98" s="118" t="s">
        <v>563</v>
      </c>
      <c r="L98" s="118"/>
      <c r="M98" s="120"/>
      <c r="N98" s="122"/>
      <c r="O98" s="122"/>
      <c r="P98" s="122"/>
      <c r="Q98" s="122"/>
      <c r="R98" s="122"/>
      <c r="S98" s="122"/>
      <c r="T98" s="122"/>
      <c r="U98" s="122"/>
      <c r="V98" s="122"/>
      <c r="W98" s="122"/>
      <c r="X98" s="122"/>
      <c r="Y98" s="122"/>
      <c r="Z98" s="122"/>
      <c r="AA98" s="130"/>
      <c r="AB98" s="130"/>
      <c r="AC98" s="130"/>
      <c r="AD98" s="130"/>
      <c r="AE98" s="257" t="s">
        <v>383</v>
      </c>
      <c r="AF98" s="259"/>
      <c r="AG98" s="259"/>
    </row>
    <row r="99" spans="1:33" hidden="1" x14ac:dyDescent="0.4">
      <c r="A99" s="118"/>
      <c r="B99" s="118"/>
      <c r="C99" s="118"/>
      <c r="D99" s="118"/>
      <c r="E99" s="118"/>
      <c r="F99" s="118"/>
      <c r="G99" s="118" t="s">
        <v>511</v>
      </c>
      <c r="H99" s="118" t="s">
        <v>564</v>
      </c>
      <c r="I99" s="118"/>
      <c r="J99" s="122"/>
      <c r="K99" s="118" t="s">
        <v>579</v>
      </c>
      <c r="L99" s="118"/>
      <c r="M99" s="120"/>
      <c r="N99" s="122"/>
      <c r="O99" s="122"/>
      <c r="P99" s="122"/>
      <c r="Q99" s="122"/>
      <c r="R99" s="122"/>
      <c r="S99" s="122"/>
      <c r="T99" s="122"/>
      <c r="U99" s="122"/>
      <c r="V99" s="122"/>
      <c r="W99" s="122"/>
      <c r="X99" s="122"/>
      <c r="Y99" s="122"/>
      <c r="Z99" s="122"/>
      <c r="AA99" s="130"/>
      <c r="AB99" s="130"/>
      <c r="AC99" s="130"/>
      <c r="AD99" s="130"/>
      <c r="AE99" s="257" t="s">
        <v>515</v>
      </c>
      <c r="AF99" s="259"/>
      <c r="AG99" s="259"/>
    </row>
    <row r="100" spans="1:33" hidden="1" x14ac:dyDescent="0.4">
      <c r="A100" s="118"/>
      <c r="B100" s="118"/>
      <c r="C100" s="118"/>
      <c r="D100" s="118"/>
      <c r="E100" s="118"/>
      <c r="F100" s="118"/>
      <c r="G100" s="118" t="s">
        <v>512</v>
      </c>
      <c r="H100" s="118" t="s">
        <v>565</v>
      </c>
      <c r="I100" s="122"/>
      <c r="J100" s="122"/>
      <c r="K100" s="118" t="s">
        <v>595</v>
      </c>
      <c r="L100" s="122"/>
      <c r="M100" s="122"/>
      <c r="N100" s="122"/>
      <c r="O100" s="122"/>
      <c r="P100" s="122"/>
      <c r="Q100" s="122"/>
      <c r="R100" s="122"/>
      <c r="S100" s="122"/>
      <c r="T100" s="122"/>
      <c r="U100" s="122"/>
      <c r="V100" s="122"/>
      <c r="W100" s="122"/>
      <c r="X100" s="122"/>
      <c r="Y100" s="122"/>
      <c r="Z100" s="122"/>
      <c r="AA100" s="130"/>
      <c r="AB100" s="130"/>
      <c r="AC100" s="130"/>
      <c r="AD100" s="130"/>
      <c r="AE100" s="257" t="s">
        <v>440</v>
      </c>
      <c r="AF100" s="259"/>
      <c r="AG100" s="259"/>
    </row>
    <row r="101" spans="1:33" hidden="1" x14ac:dyDescent="0.4">
      <c r="A101" s="118"/>
      <c r="B101" s="118"/>
      <c r="C101" s="118"/>
      <c r="D101" s="118"/>
      <c r="E101" s="118"/>
      <c r="F101" s="118"/>
      <c r="G101" s="118" t="s">
        <v>518</v>
      </c>
      <c r="H101" s="118" t="s">
        <v>519</v>
      </c>
      <c r="I101" s="122"/>
      <c r="J101" s="122"/>
      <c r="K101" s="118" t="s">
        <v>596</v>
      </c>
      <c r="L101" s="122"/>
      <c r="M101" s="122"/>
      <c r="N101" s="122"/>
      <c r="O101" s="122"/>
      <c r="P101" s="122"/>
      <c r="Q101" s="122"/>
      <c r="R101" s="122"/>
      <c r="S101" s="122"/>
      <c r="T101" s="122"/>
      <c r="U101" s="122"/>
      <c r="V101" s="122"/>
      <c r="W101" s="122"/>
      <c r="X101" s="122"/>
      <c r="Y101" s="122"/>
      <c r="Z101" s="122"/>
      <c r="AA101" s="130"/>
      <c r="AB101" s="130"/>
      <c r="AC101" s="130"/>
      <c r="AD101" s="130"/>
      <c r="AE101" s="257" t="s">
        <v>425</v>
      </c>
      <c r="AF101" s="259"/>
      <c r="AG101" s="259"/>
    </row>
    <row r="102" spans="1:33" hidden="1" x14ac:dyDescent="0.4">
      <c r="A102" s="118"/>
      <c r="B102" s="118"/>
      <c r="C102" s="118"/>
      <c r="D102" s="118"/>
      <c r="E102" s="118"/>
      <c r="F102" s="118"/>
      <c r="G102" s="118" t="s">
        <v>521</v>
      </c>
      <c r="H102" s="123" t="s">
        <v>566</v>
      </c>
      <c r="I102" s="122"/>
      <c r="J102" s="122"/>
      <c r="K102" s="118" t="s">
        <v>597</v>
      </c>
      <c r="L102" s="122"/>
      <c r="M102" s="122"/>
      <c r="N102" s="122"/>
      <c r="O102" s="122"/>
      <c r="P102" s="122"/>
      <c r="Q102" s="122"/>
      <c r="R102" s="122"/>
      <c r="S102" s="122"/>
      <c r="T102" s="122"/>
      <c r="U102" s="122"/>
      <c r="V102" s="122"/>
      <c r="W102" s="122"/>
      <c r="X102" s="122"/>
      <c r="Y102" s="122"/>
      <c r="Z102" s="122"/>
      <c r="AA102" s="130"/>
      <c r="AB102" s="130"/>
      <c r="AC102" s="130"/>
      <c r="AD102" s="130"/>
      <c r="AE102" s="257" t="s">
        <v>408</v>
      </c>
      <c r="AF102" s="259"/>
      <c r="AG102" s="259"/>
    </row>
    <row r="103" spans="1:33" hidden="1" x14ac:dyDescent="0.4">
      <c r="A103" s="118"/>
      <c r="B103" s="118"/>
      <c r="C103" s="118"/>
      <c r="D103" s="118"/>
      <c r="E103" s="118"/>
      <c r="F103" s="118"/>
      <c r="G103" s="118" t="s">
        <v>522</v>
      </c>
      <c r="H103" s="118" t="s">
        <v>567</v>
      </c>
      <c r="I103" s="122"/>
      <c r="J103" s="122"/>
      <c r="K103" s="118" t="s">
        <v>601</v>
      </c>
      <c r="L103" s="122"/>
      <c r="M103" s="122"/>
      <c r="N103" s="122"/>
      <c r="O103" s="122"/>
      <c r="P103" s="122"/>
      <c r="Q103" s="122"/>
      <c r="R103" s="122"/>
      <c r="S103" s="122"/>
      <c r="T103" s="122"/>
      <c r="U103" s="122"/>
      <c r="V103" s="122"/>
      <c r="W103" s="122"/>
      <c r="X103" s="122"/>
      <c r="Y103" s="122"/>
      <c r="Z103" s="122"/>
      <c r="AA103" s="130"/>
      <c r="AB103" s="130"/>
      <c r="AC103" s="130"/>
      <c r="AD103" s="130"/>
      <c r="AE103" s="257" t="s">
        <v>409</v>
      </c>
      <c r="AF103" s="259"/>
      <c r="AG103" s="259"/>
    </row>
    <row r="104" spans="1:33" hidden="1" x14ac:dyDescent="0.4">
      <c r="A104" s="118"/>
      <c r="B104" s="118"/>
      <c r="C104" s="118"/>
      <c r="D104" s="118"/>
      <c r="E104" s="118"/>
      <c r="F104" s="118"/>
      <c r="G104" s="118" t="s">
        <v>527</v>
      </c>
      <c r="H104" s="118" t="s">
        <v>589</v>
      </c>
      <c r="I104" s="122"/>
      <c r="J104" s="122"/>
      <c r="K104" s="118"/>
      <c r="L104" s="122"/>
      <c r="M104" s="122"/>
      <c r="N104" s="122"/>
      <c r="O104" s="122"/>
      <c r="P104" s="122"/>
      <c r="Q104" s="122"/>
      <c r="R104" s="122"/>
      <c r="S104" s="122"/>
      <c r="T104" s="122"/>
      <c r="U104" s="122"/>
      <c r="V104" s="122"/>
      <c r="W104" s="122"/>
      <c r="X104" s="122"/>
      <c r="Y104" s="122"/>
      <c r="Z104" s="122"/>
      <c r="AA104" s="130"/>
      <c r="AB104" s="130"/>
      <c r="AC104" s="130"/>
      <c r="AD104" s="130"/>
      <c r="AE104" s="257" t="s">
        <v>410</v>
      </c>
      <c r="AF104" s="259"/>
      <c r="AG104" s="259"/>
    </row>
    <row r="105" spans="1:33" hidden="1" x14ac:dyDescent="0.4">
      <c r="A105" s="118"/>
      <c r="B105" s="118"/>
      <c r="C105" s="118"/>
      <c r="D105" s="118"/>
      <c r="E105" s="118"/>
      <c r="F105" s="118"/>
      <c r="G105" s="118" t="s">
        <v>528</v>
      </c>
      <c r="H105" s="118" t="s">
        <v>529</v>
      </c>
      <c r="I105" s="122"/>
      <c r="J105" s="122"/>
      <c r="K105" s="259"/>
      <c r="L105" s="122"/>
      <c r="M105" s="122"/>
      <c r="N105" s="122"/>
      <c r="O105" s="122"/>
      <c r="P105" s="122"/>
      <c r="Q105" s="122"/>
      <c r="R105" s="122"/>
      <c r="S105" s="122"/>
      <c r="T105" s="122"/>
      <c r="U105" s="122"/>
      <c r="V105" s="122"/>
      <c r="W105" s="122"/>
      <c r="X105" s="122"/>
      <c r="Y105" s="122"/>
      <c r="Z105" s="122"/>
      <c r="AA105" s="130"/>
      <c r="AB105" s="130"/>
      <c r="AC105" s="130"/>
      <c r="AD105" s="130"/>
      <c r="AE105" s="257" t="s">
        <v>411</v>
      </c>
      <c r="AF105" s="259"/>
      <c r="AG105" s="259"/>
    </row>
    <row r="106" spans="1:33" hidden="1" x14ac:dyDescent="0.4">
      <c r="A106" s="118"/>
      <c r="B106" s="118"/>
      <c r="C106" s="118"/>
      <c r="D106" s="118"/>
      <c r="E106" s="118"/>
      <c r="F106" s="118"/>
      <c r="G106" s="118" t="s">
        <v>532</v>
      </c>
      <c r="H106" s="118" t="s">
        <v>571</v>
      </c>
      <c r="I106" s="122"/>
      <c r="J106" s="122"/>
      <c r="K106" s="259"/>
      <c r="L106" s="122"/>
      <c r="M106" s="122"/>
      <c r="N106" s="122"/>
      <c r="O106" s="122"/>
      <c r="P106" s="122"/>
      <c r="Q106" s="122"/>
      <c r="R106" s="122"/>
      <c r="S106" s="122"/>
      <c r="T106" s="122"/>
      <c r="U106" s="122"/>
      <c r="V106" s="122"/>
      <c r="W106" s="122"/>
      <c r="X106" s="122"/>
      <c r="Y106" s="122"/>
      <c r="Z106" s="122"/>
      <c r="AA106" s="130"/>
      <c r="AB106" s="130"/>
      <c r="AC106" s="130"/>
      <c r="AD106" s="130"/>
      <c r="AE106" s="258" t="s">
        <v>427</v>
      </c>
      <c r="AF106" s="259"/>
      <c r="AG106" s="259"/>
    </row>
    <row r="107" spans="1:33" hidden="1" x14ac:dyDescent="0.4">
      <c r="A107" s="118"/>
      <c r="B107" s="118"/>
      <c r="C107" s="118"/>
      <c r="D107" s="118"/>
      <c r="E107" s="118"/>
      <c r="F107" s="118"/>
      <c r="G107" s="118" t="s">
        <v>534</v>
      </c>
      <c r="H107" s="118" t="s">
        <v>535</v>
      </c>
      <c r="I107" s="122"/>
      <c r="J107" s="122"/>
      <c r="K107" s="259"/>
      <c r="L107" s="122"/>
      <c r="M107" s="122"/>
      <c r="N107" s="122"/>
      <c r="O107" s="122"/>
      <c r="P107" s="122"/>
      <c r="Q107" s="122"/>
      <c r="R107" s="122"/>
      <c r="S107" s="122"/>
      <c r="T107" s="122"/>
      <c r="U107" s="122"/>
      <c r="V107" s="122"/>
      <c r="W107" s="122"/>
      <c r="X107" s="122"/>
      <c r="Y107" s="122"/>
      <c r="Z107" s="122"/>
      <c r="AA107" s="130"/>
      <c r="AB107" s="130"/>
      <c r="AC107" s="130"/>
      <c r="AD107" s="130"/>
      <c r="AE107" s="258" t="s">
        <v>436</v>
      </c>
      <c r="AF107" s="259"/>
      <c r="AG107" s="259"/>
    </row>
    <row r="108" spans="1:33" hidden="1" x14ac:dyDescent="0.4">
      <c r="A108" s="118"/>
      <c r="B108" s="118"/>
      <c r="C108" s="118"/>
      <c r="D108" s="118"/>
      <c r="E108" s="118"/>
      <c r="F108" s="118"/>
      <c r="G108" s="118" t="s">
        <v>602</v>
      </c>
      <c r="H108" s="118" t="s">
        <v>603</v>
      </c>
      <c r="I108" s="122"/>
      <c r="J108" s="122"/>
      <c r="K108" s="259"/>
      <c r="L108" s="122"/>
      <c r="M108" s="122"/>
      <c r="N108" s="122"/>
      <c r="O108" s="122"/>
      <c r="P108" s="122"/>
      <c r="Q108" s="122"/>
      <c r="R108" s="122"/>
      <c r="S108" s="122"/>
      <c r="T108" s="122"/>
      <c r="U108" s="122"/>
      <c r="V108" s="122"/>
      <c r="W108" s="122"/>
      <c r="X108" s="122"/>
      <c r="Y108" s="122"/>
      <c r="Z108" s="122"/>
      <c r="AA108" s="130"/>
      <c r="AB108" s="130"/>
      <c r="AC108" s="130"/>
      <c r="AD108" s="130"/>
      <c r="AE108" s="257" t="s">
        <v>412</v>
      </c>
      <c r="AF108" s="259"/>
      <c r="AG108" s="259"/>
    </row>
    <row r="109" spans="1:33" hidden="1" x14ac:dyDescent="0.4">
      <c r="A109" s="118"/>
      <c r="B109" s="118"/>
      <c r="C109" s="118"/>
      <c r="D109" s="118"/>
      <c r="E109" s="118"/>
      <c r="F109" s="118"/>
      <c r="G109" s="118" t="s">
        <v>537</v>
      </c>
      <c r="H109" s="118" t="s">
        <v>558</v>
      </c>
      <c r="I109" s="122"/>
      <c r="J109" s="122"/>
      <c r="K109" s="259"/>
      <c r="L109" s="122"/>
      <c r="M109" s="122"/>
      <c r="N109" s="122"/>
      <c r="O109" s="122"/>
      <c r="P109" s="122"/>
      <c r="Q109" s="122"/>
      <c r="R109" s="122"/>
      <c r="S109" s="122"/>
      <c r="T109" s="122"/>
      <c r="U109" s="122"/>
      <c r="V109" s="122"/>
      <c r="W109" s="122"/>
      <c r="X109" s="122"/>
      <c r="Y109" s="122"/>
      <c r="Z109" s="122"/>
      <c r="AA109" s="130"/>
      <c r="AB109" s="130"/>
      <c r="AC109" s="130"/>
      <c r="AD109" s="130"/>
      <c r="AE109" s="257" t="s">
        <v>413</v>
      </c>
      <c r="AF109" s="265"/>
      <c r="AG109" s="265"/>
    </row>
    <row r="110" spans="1:33" hidden="1" x14ac:dyDescent="0.4">
      <c r="A110" s="118"/>
      <c r="B110" s="118"/>
      <c r="C110" s="118"/>
      <c r="D110" s="118"/>
      <c r="E110" s="118"/>
      <c r="F110" s="118"/>
      <c r="G110" s="118" t="s">
        <v>538</v>
      </c>
      <c r="H110" s="118" t="s">
        <v>559</v>
      </c>
      <c r="I110" s="122"/>
      <c r="J110" s="122"/>
      <c r="K110" s="259"/>
      <c r="L110" s="122"/>
      <c r="M110" s="122"/>
      <c r="N110" s="122"/>
      <c r="O110" s="122"/>
      <c r="P110" s="122"/>
      <c r="Q110" s="122"/>
      <c r="R110" s="122"/>
      <c r="S110" s="122"/>
      <c r="T110" s="122"/>
      <c r="U110" s="122"/>
      <c r="V110" s="122"/>
      <c r="W110" s="122"/>
      <c r="X110" s="122"/>
      <c r="Y110" s="122"/>
      <c r="Z110" s="122"/>
      <c r="AA110" s="130"/>
      <c r="AB110" s="130"/>
      <c r="AC110" s="130"/>
      <c r="AD110" s="130"/>
      <c r="AE110" s="257" t="s">
        <v>414</v>
      </c>
      <c r="AF110" s="265"/>
      <c r="AG110" s="265"/>
    </row>
    <row r="111" spans="1:33" hidden="1" x14ac:dyDescent="0.4">
      <c r="A111" s="118"/>
      <c r="B111" s="118"/>
      <c r="C111" s="118"/>
      <c r="D111" s="118"/>
      <c r="E111" s="118"/>
      <c r="F111" s="118"/>
      <c r="G111" s="118" t="s">
        <v>560</v>
      </c>
      <c r="H111" s="118" t="s">
        <v>561</v>
      </c>
      <c r="I111" s="122"/>
      <c r="J111" s="122"/>
      <c r="K111" s="259"/>
      <c r="L111" s="122"/>
      <c r="M111" s="122"/>
      <c r="N111" s="122"/>
      <c r="O111" s="122"/>
      <c r="P111" s="122"/>
      <c r="Q111" s="122"/>
      <c r="R111" s="122"/>
      <c r="S111" s="122"/>
      <c r="T111" s="122"/>
      <c r="U111" s="122"/>
      <c r="V111" s="122"/>
      <c r="W111" s="122"/>
      <c r="X111" s="122"/>
      <c r="Y111" s="122"/>
      <c r="Z111" s="122"/>
      <c r="AA111" s="130"/>
      <c r="AB111" s="130"/>
      <c r="AC111" s="130"/>
      <c r="AD111" s="130"/>
      <c r="AE111" s="257" t="s">
        <v>415</v>
      </c>
      <c r="AF111" s="265"/>
      <c r="AG111" s="265"/>
    </row>
    <row r="112" spans="1:33" hidden="1" x14ac:dyDescent="0.4">
      <c r="A112" s="118"/>
      <c r="B112" s="118"/>
      <c r="C112" s="118"/>
      <c r="D112" s="118"/>
      <c r="E112" s="118"/>
      <c r="F112" s="118"/>
      <c r="G112" s="118" t="s">
        <v>569</v>
      </c>
      <c r="H112" s="118" t="s">
        <v>568</v>
      </c>
      <c r="I112" s="122"/>
      <c r="J112" s="122"/>
      <c r="K112" s="259"/>
      <c r="L112" s="122"/>
      <c r="M112" s="122"/>
      <c r="N112" s="122"/>
      <c r="O112" s="122"/>
      <c r="P112" s="122"/>
      <c r="Q112" s="122"/>
      <c r="R112" s="122"/>
      <c r="S112" s="122"/>
      <c r="T112" s="122"/>
      <c r="U112" s="122"/>
      <c r="V112" s="122"/>
      <c r="W112" s="122"/>
      <c r="X112" s="122"/>
      <c r="Y112" s="122"/>
      <c r="Z112" s="122"/>
      <c r="AA112" s="130"/>
      <c r="AB112" s="130"/>
      <c r="AC112" s="130"/>
      <c r="AD112" s="130"/>
      <c r="AE112" s="257" t="s">
        <v>416</v>
      </c>
      <c r="AF112" s="265"/>
      <c r="AG112" s="265"/>
    </row>
    <row r="113" spans="1:33" hidden="1" x14ac:dyDescent="0.4">
      <c r="A113" s="118"/>
      <c r="B113" s="118"/>
      <c r="C113" s="118"/>
      <c r="D113" s="118"/>
      <c r="E113" s="118"/>
      <c r="F113" s="118"/>
      <c r="G113" s="118" t="s">
        <v>572</v>
      </c>
      <c r="H113" s="123" t="s">
        <v>581</v>
      </c>
      <c r="I113" s="122"/>
      <c r="J113" s="122"/>
      <c r="K113" s="259"/>
      <c r="L113" s="122"/>
      <c r="M113" s="122"/>
      <c r="N113" s="122"/>
      <c r="O113" s="122"/>
      <c r="P113" s="122"/>
      <c r="Q113" s="122"/>
      <c r="R113" s="122"/>
      <c r="S113" s="122"/>
      <c r="T113" s="122"/>
      <c r="U113" s="122"/>
      <c r="V113" s="122"/>
      <c r="W113" s="122"/>
      <c r="X113" s="122"/>
      <c r="Y113" s="122"/>
      <c r="Z113" s="122"/>
      <c r="AA113" s="130"/>
      <c r="AB113" s="130"/>
      <c r="AC113" s="130"/>
      <c r="AD113" s="130"/>
      <c r="AE113" s="257" t="s">
        <v>395</v>
      </c>
      <c r="AF113" s="265"/>
      <c r="AG113" s="265"/>
    </row>
    <row r="114" spans="1:33" hidden="1" x14ac:dyDescent="0.4">
      <c r="A114" s="118"/>
      <c r="B114" s="118"/>
      <c r="C114" s="118"/>
      <c r="D114" s="118"/>
      <c r="E114" s="118"/>
      <c r="F114" s="118"/>
      <c r="G114" s="118" t="s">
        <v>573</v>
      </c>
      <c r="H114" s="118" t="s">
        <v>584</v>
      </c>
      <c r="I114" s="122"/>
      <c r="J114" s="122"/>
      <c r="K114" s="259"/>
      <c r="L114" s="122"/>
      <c r="M114" s="122"/>
      <c r="N114" s="122"/>
      <c r="O114" s="122"/>
      <c r="P114" s="122"/>
      <c r="Q114" s="122"/>
      <c r="R114" s="122"/>
      <c r="S114" s="122"/>
      <c r="T114" s="122"/>
      <c r="U114" s="122"/>
      <c r="V114" s="122"/>
      <c r="W114" s="122"/>
      <c r="X114" s="122"/>
      <c r="Y114" s="122"/>
      <c r="Z114" s="122"/>
      <c r="AA114" s="130"/>
      <c r="AB114" s="130"/>
      <c r="AC114" s="130"/>
      <c r="AD114" s="130"/>
      <c r="AE114" s="257" t="s">
        <v>417</v>
      </c>
      <c r="AF114" s="265"/>
      <c r="AG114" s="265"/>
    </row>
    <row r="115" spans="1:33" hidden="1" x14ac:dyDescent="0.4">
      <c r="A115" s="118"/>
      <c r="B115" s="118"/>
      <c r="C115" s="118"/>
      <c r="D115" s="118"/>
      <c r="E115" s="118"/>
      <c r="F115" s="118"/>
      <c r="G115" s="118" t="s">
        <v>574</v>
      </c>
      <c r="H115" s="118" t="s">
        <v>576</v>
      </c>
      <c r="I115" s="122"/>
      <c r="J115" s="122"/>
      <c r="K115" s="259"/>
      <c r="L115" s="122"/>
      <c r="M115" s="122"/>
      <c r="N115" s="122"/>
      <c r="O115" s="122"/>
      <c r="P115" s="122"/>
      <c r="Q115" s="122"/>
      <c r="R115" s="122"/>
      <c r="S115" s="122"/>
      <c r="T115" s="122"/>
      <c r="U115" s="122"/>
      <c r="V115" s="122"/>
      <c r="W115" s="122"/>
      <c r="X115" s="122"/>
      <c r="Y115" s="122"/>
      <c r="Z115" s="122"/>
      <c r="AA115" s="130"/>
      <c r="AB115" s="130"/>
      <c r="AC115" s="130"/>
      <c r="AD115" s="130"/>
      <c r="AE115" s="257" t="s">
        <v>418</v>
      </c>
      <c r="AF115" s="265"/>
      <c r="AG115" s="265"/>
    </row>
    <row r="116" spans="1:33" hidden="1" x14ac:dyDescent="0.4">
      <c r="A116" s="118"/>
      <c r="B116" s="118"/>
      <c r="C116" s="118"/>
      <c r="D116" s="118"/>
      <c r="E116" s="118"/>
      <c r="F116" s="118"/>
      <c r="G116" s="118" t="s">
        <v>575</v>
      </c>
      <c r="H116" s="118" t="s">
        <v>577</v>
      </c>
      <c r="I116" s="122"/>
      <c r="J116" s="122"/>
      <c r="K116" s="259"/>
      <c r="L116" s="122"/>
      <c r="M116" s="122"/>
      <c r="N116" s="122"/>
      <c r="O116" s="122"/>
      <c r="P116" s="122"/>
      <c r="Q116" s="122"/>
      <c r="R116" s="122"/>
      <c r="S116" s="122"/>
      <c r="T116" s="122"/>
      <c r="U116" s="122"/>
      <c r="V116" s="122"/>
      <c r="W116" s="122"/>
      <c r="X116" s="122"/>
      <c r="Y116" s="122"/>
      <c r="Z116" s="122"/>
      <c r="AA116" s="130"/>
      <c r="AB116" s="130"/>
      <c r="AC116" s="130"/>
      <c r="AD116" s="130"/>
      <c r="AE116" s="257" t="s">
        <v>419</v>
      </c>
      <c r="AF116" s="265"/>
      <c r="AG116" s="265"/>
    </row>
    <row r="117" spans="1:33" hidden="1" x14ac:dyDescent="0.4">
      <c r="A117" s="118"/>
      <c r="B117" s="118"/>
      <c r="C117" s="118"/>
      <c r="D117" s="118"/>
      <c r="E117" s="118"/>
      <c r="F117" s="118"/>
      <c r="G117" s="118" t="s">
        <v>591</v>
      </c>
      <c r="H117" s="118" t="s">
        <v>593</v>
      </c>
      <c r="I117" s="122"/>
      <c r="J117" s="122"/>
      <c r="K117" s="259"/>
      <c r="L117" s="122"/>
      <c r="M117" s="122"/>
      <c r="N117" s="122"/>
      <c r="O117" s="122"/>
      <c r="P117" s="122"/>
      <c r="Q117" s="122"/>
      <c r="R117" s="122"/>
      <c r="S117" s="122"/>
      <c r="T117" s="122"/>
      <c r="U117" s="122"/>
      <c r="V117" s="122"/>
      <c r="W117" s="122"/>
      <c r="X117" s="122"/>
      <c r="Y117" s="122"/>
      <c r="Z117" s="122"/>
      <c r="AA117" s="130"/>
      <c r="AB117" s="130"/>
      <c r="AC117" s="130"/>
      <c r="AD117" s="130"/>
      <c r="AE117" s="257" t="s">
        <v>420</v>
      </c>
      <c r="AF117" s="265"/>
      <c r="AG117" s="265"/>
    </row>
    <row r="118" spans="1:33" hidden="1" x14ac:dyDescent="0.4">
      <c r="A118" s="118"/>
      <c r="B118" s="118"/>
      <c r="C118" s="118"/>
      <c r="D118" s="118"/>
      <c r="E118" s="118"/>
      <c r="F118" s="118"/>
      <c r="G118" s="118" t="s">
        <v>592</v>
      </c>
      <c r="H118" s="118" t="s">
        <v>594</v>
      </c>
      <c r="I118" s="122"/>
      <c r="J118" s="122"/>
      <c r="K118" s="259"/>
      <c r="L118" s="122"/>
      <c r="M118" s="122"/>
      <c r="N118" s="122"/>
      <c r="O118" s="122"/>
      <c r="P118" s="122"/>
      <c r="Q118" s="122"/>
      <c r="R118" s="122"/>
      <c r="S118" s="122"/>
      <c r="T118" s="122"/>
      <c r="U118" s="122"/>
      <c r="V118" s="122"/>
      <c r="W118" s="122"/>
      <c r="X118" s="122"/>
      <c r="Y118" s="122"/>
      <c r="Z118" s="122"/>
      <c r="AA118" s="130"/>
      <c r="AB118" s="130"/>
      <c r="AC118" s="130"/>
      <c r="AD118" s="130"/>
      <c r="AE118" s="257" t="s">
        <v>421</v>
      </c>
      <c r="AF118" s="265"/>
      <c r="AG118" s="265"/>
    </row>
    <row r="119" spans="1:33" hidden="1" x14ac:dyDescent="0.4">
      <c r="A119" s="118"/>
      <c r="B119" s="118"/>
      <c r="C119" s="118"/>
      <c r="D119" s="118"/>
      <c r="E119" s="118"/>
      <c r="F119" s="118"/>
      <c r="G119" s="118" t="s">
        <v>599</v>
      </c>
      <c r="H119" s="118" t="s">
        <v>600</v>
      </c>
      <c r="I119" s="122"/>
      <c r="J119" s="122"/>
      <c r="K119" s="259"/>
      <c r="L119" s="122"/>
      <c r="M119" s="122"/>
      <c r="N119" s="122"/>
      <c r="O119" s="122"/>
      <c r="P119" s="122"/>
      <c r="Q119" s="122"/>
      <c r="R119" s="122"/>
      <c r="S119" s="122"/>
      <c r="T119" s="122"/>
      <c r="U119" s="122"/>
      <c r="V119" s="122"/>
      <c r="W119" s="122"/>
      <c r="X119" s="122"/>
      <c r="Y119" s="122"/>
      <c r="Z119" s="122"/>
      <c r="AA119" s="130"/>
      <c r="AB119" s="130"/>
      <c r="AC119" s="130"/>
      <c r="AD119" s="130"/>
      <c r="AE119" s="257" t="s">
        <v>422</v>
      </c>
      <c r="AF119" s="265"/>
      <c r="AG119" s="265"/>
    </row>
    <row r="120" spans="1:33" hidden="1" x14ac:dyDescent="0.4">
      <c r="A120" s="118"/>
      <c r="B120" s="118"/>
      <c r="C120" s="118"/>
      <c r="D120" s="118"/>
      <c r="E120" s="118"/>
      <c r="F120" s="118"/>
      <c r="G120" s="118" t="s">
        <v>599</v>
      </c>
      <c r="H120" s="118" t="s">
        <v>600</v>
      </c>
      <c r="I120" s="122"/>
      <c r="J120" s="122"/>
      <c r="K120" s="259"/>
      <c r="L120" s="122"/>
      <c r="M120" s="122"/>
      <c r="N120" s="122"/>
      <c r="O120" s="122"/>
      <c r="P120" s="122"/>
      <c r="Q120" s="122"/>
      <c r="R120" s="122"/>
      <c r="S120" s="122"/>
      <c r="T120" s="122"/>
      <c r="U120" s="122"/>
      <c r="V120" s="122"/>
      <c r="W120" s="122"/>
      <c r="X120" s="122"/>
      <c r="Y120" s="122"/>
      <c r="Z120" s="122"/>
      <c r="AA120" s="130"/>
      <c r="AB120" s="130"/>
      <c r="AC120" s="130"/>
      <c r="AD120" s="130"/>
      <c r="AE120" s="257" t="s">
        <v>424</v>
      </c>
      <c r="AF120" s="265"/>
      <c r="AG120" s="265"/>
    </row>
    <row r="121" spans="1:33" hidden="1" x14ac:dyDescent="0.4">
      <c r="A121" s="118"/>
      <c r="B121" s="118"/>
      <c r="C121" s="118"/>
      <c r="D121" s="118"/>
      <c r="E121" s="118"/>
      <c r="F121" s="118"/>
      <c r="G121" s="118" t="s">
        <v>604</v>
      </c>
      <c r="H121" s="118" t="s">
        <v>605</v>
      </c>
      <c r="I121" s="122"/>
      <c r="J121" s="259"/>
      <c r="K121" s="259"/>
      <c r="L121" s="122"/>
      <c r="M121" s="122"/>
      <c r="N121" s="122"/>
      <c r="O121" s="122"/>
      <c r="P121" s="122"/>
      <c r="Q121" s="122"/>
      <c r="R121" s="122"/>
      <c r="S121" s="122"/>
      <c r="T121" s="122"/>
      <c r="U121" s="122"/>
      <c r="V121" s="122"/>
      <c r="W121" s="122"/>
      <c r="X121" s="122"/>
      <c r="Y121" s="122"/>
      <c r="Z121" s="122"/>
      <c r="AA121" s="130"/>
      <c r="AB121" s="130"/>
      <c r="AC121" s="130"/>
      <c r="AD121" s="130"/>
      <c r="AE121" s="257" t="s">
        <v>423</v>
      </c>
      <c r="AF121" s="265"/>
      <c r="AG121" s="265"/>
    </row>
    <row r="122" spans="1:33" hidden="1" x14ac:dyDescent="0.4">
      <c r="A122" s="213"/>
      <c r="B122" s="213"/>
      <c r="C122" s="213"/>
      <c r="D122" s="213"/>
      <c r="E122" s="213"/>
      <c r="F122" s="213"/>
      <c r="G122" s="259"/>
      <c r="H122" s="259"/>
      <c r="I122" s="259"/>
      <c r="J122" s="259"/>
      <c r="K122" s="259"/>
      <c r="L122" s="259"/>
      <c r="M122" s="259"/>
      <c r="N122" s="259"/>
      <c r="O122" s="259"/>
      <c r="P122" s="259"/>
      <c r="Q122" s="259"/>
      <c r="R122" s="259"/>
      <c r="S122" s="259"/>
      <c r="T122" s="259"/>
      <c r="U122" s="259"/>
      <c r="V122" s="259"/>
      <c r="W122" s="259"/>
      <c r="X122" s="259"/>
      <c r="Y122" s="259"/>
      <c r="Z122" s="266"/>
      <c r="AA122" s="266"/>
      <c r="AB122" s="266"/>
      <c r="AC122" s="266"/>
      <c r="AD122" s="266"/>
      <c r="AE122" s="257" t="s">
        <v>426</v>
      </c>
      <c r="AF122" s="265"/>
      <c r="AG122" s="265"/>
    </row>
    <row r="123" spans="1:33" hidden="1" x14ac:dyDescent="0.4">
      <c r="A123" s="213"/>
      <c r="B123" s="213"/>
      <c r="C123" s="213"/>
      <c r="D123" s="213"/>
      <c r="E123" s="213"/>
      <c r="F123" s="213"/>
      <c r="G123" s="259"/>
      <c r="H123" s="259"/>
      <c r="I123" s="259"/>
      <c r="J123" s="259"/>
      <c r="K123" s="259"/>
      <c r="L123" s="259"/>
      <c r="M123" s="259"/>
      <c r="N123" s="259"/>
      <c r="O123" s="259"/>
      <c r="P123" s="259"/>
      <c r="Q123" s="259"/>
      <c r="R123" s="259"/>
      <c r="S123" s="259"/>
      <c r="T123" s="259"/>
      <c r="U123" s="259"/>
      <c r="V123" s="259"/>
      <c r="W123" s="259"/>
      <c r="X123" s="259"/>
      <c r="Y123" s="259"/>
      <c r="Z123" s="266"/>
      <c r="AA123" s="266"/>
      <c r="AB123" s="266"/>
      <c r="AC123" s="266"/>
      <c r="AD123" s="266"/>
      <c r="AE123" s="257" t="s">
        <v>428</v>
      </c>
      <c r="AF123" s="265"/>
      <c r="AG123" s="265"/>
    </row>
    <row r="124" spans="1:33" hidden="1" x14ac:dyDescent="0.4">
      <c r="A124" s="213"/>
      <c r="B124" s="213"/>
      <c r="C124" s="213"/>
      <c r="D124" s="213"/>
      <c r="E124" s="213"/>
      <c r="F124" s="213"/>
      <c r="G124" s="259"/>
      <c r="H124" s="259"/>
      <c r="I124" s="259"/>
      <c r="J124" s="259"/>
      <c r="K124" s="259"/>
      <c r="L124" s="259"/>
      <c r="M124" s="259"/>
      <c r="N124" s="259"/>
      <c r="O124" s="259"/>
      <c r="P124" s="259"/>
      <c r="Q124" s="259"/>
      <c r="R124" s="259"/>
      <c r="S124" s="259"/>
      <c r="T124" s="259"/>
      <c r="U124" s="259"/>
      <c r="V124" s="259"/>
      <c r="W124" s="259"/>
      <c r="X124" s="259"/>
      <c r="Y124" s="259"/>
      <c r="Z124" s="266"/>
      <c r="AA124" s="266"/>
      <c r="AB124" s="266"/>
      <c r="AC124" s="266"/>
      <c r="AD124" s="266"/>
      <c r="AE124" s="257" t="s">
        <v>429</v>
      </c>
      <c r="AF124" s="265"/>
      <c r="AG124" s="265"/>
    </row>
    <row r="125" spans="1:33" hidden="1" x14ac:dyDescent="0.4">
      <c r="A125" s="213"/>
      <c r="B125" s="213"/>
      <c r="C125" s="213"/>
      <c r="D125" s="213"/>
      <c r="E125" s="213"/>
      <c r="F125" s="213"/>
      <c r="G125" s="259"/>
      <c r="H125" s="259"/>
      <c r="I125" s="259"/>
      <c r="J125" s="259"/>
      <c r="K125" s="259"/>
      <c r="L125" s="259"/>
      <c r="M125" s="259"/>
      <c r="N125" s="259"/>
      <c r="O125" s="259"/>
      <c r="P125" s="259"/>
      <c r="Q125" s="259"/>
      <c r="R125" s="259"/>
      <c r="S125" s="259"/>
      <c r="T125" s="259"/>
      <c r="U125" s="259"/>
      <c r="V125" s="259"/>
      <c r="W125" s="259"/>
      <c r="X125" s="259"/>
      <c r="Y125" s="259"/>
      <c r="Z125" s="266"/>
      <c r="AA125" s="266"/>
      <c r="AB125" s="266"/>
      <c r="AC125" s="266"/>
      <c r="AD125" s="266"/>
      <c r="AE125" s="257" t="s">
        <v>431</v>
      </c>
      <c r="AF125" s="265"/>
      <c r="AG125" s="265"/>
    </row>
    <row r="126" spans="1:33" hidden="1" x14ac:dyDescent="0.4">
      <c r="A126" s="213"/>
      <c r="B126" s="213"/>
      <c r="C126" s="213"/>
      <c r="D126" s="213"/>
      <c r="E126" s="213"/>
      <c r="F126" s="213"/>
      <c r="G126" s="259"/>
      <c r="H126" s="259"/>
      <c r="I126" s="259"/>
      <c r="J126" s="259"/>
      <c r="K126" s="259"/>
      <c r="L126" s="259"/>
      <c r="M126" s="259"/>
      <c r="N126" s="259"/>
      <c r="O126" s="259"/>
      <c r="P126" s="259"/>
      <c r="Q126" s="259"/>
      <c r="R126" s="259"/>
      <c r="S126" s="259"/>
      <c r="T126" s="259"/>
      <c r="U126" s="259"/>
      <c r="V126" s="259"/>
      <c r="W126" s="259"/>
      <c r="X126" s="259"/>
      <c r="Y126" s="259"/>
      <c r="Z126" s="266"/>
      <c r="AA126" s="266"/>
      <c r="AB126" s="266"/>
      <c r="AC126" s="266"/>
      <c r="AD126" s="266"/>
      <c r="AE126" s="257" t="s">
        <v>432</v>
      </c>
      <c r="AF126" s="265"/>
      <c r="AG126" s="265"/>
    </row>
    <row r="127" spans="1:33" hidden="1" x14ac:dyDescent="0.4">
      <c r="A127" s="213"/>
      <c r="B127" s="213"/>
      <c r="C127" s="213"/>
      <c r="D127" s="213"/>
      <c r="E127" s="213"/>
      <c r="F127" s="213"/>
      <c r="G127" s="259"/>
      <c r="H127" s="259"/>
      <c r="I127" s="259"/>
      <c r="J127" s="259"/>
      <c r="K127" s="259"/>
      <c r="L127" s="259"/>
      <c r="M127" s="259"/>
      <c r="N127" s="259"/>
      <c r="O127" s="259"/>
      <c r="P127" s="259"/>
      <c r="Q127" s="259"/>
      <c r="R127" s="259"/>
      <c r="S127" s="259"/>
      <c r="T127" s="259"/>
      <c r="U127" s="259"/>
      <c r="V127" s="259"/>
      <c r="W127" s="259"/>
      <c r="X127" s="259"/>
      <c r="Y127" s="259"/>
      <c r="Z127" s="266"/>
      <c r="AA127" s="266"/>
      <c r="AB127" s="266"/>
      <c r="AC127" s="266"/>
      <c r="AD127" s="266"/>
      <c r="AE127" s="257" t="s">
        <v>433</v>
      </c>
      <c r="AF127" s="265"/>
      <c r="AG127" s="265"/>
    </row>
    <row r="128" spans="1:33" hidden="1" x14ac:dyDescent="0.4">
      <c r="A128" s="213"/>
      <c r="B128" s="213"/>
      <c r="C128" s="213"/>
      <c r="D128" s="213"/>
      <c r="E128" s="213"/>
      <c r="F128" s="213"/>
      <c r="G128" s="259"/>
      <c r="H128" s="259"/>
      <c r="I128" s="259"/>
      <c r="J128" s="259"/>
      <c r="K128" s="259"/>
      <c r="L128" s="259"/>
      <c r="M128" s="259"/>
      <c r="N128" s="259"/>
      <c r="O128" s="259"/>
      <c r="P128" s="259"/>
      <c r="Q128" s="259"/>
      <c r="R128" s="259"/>
      <c r="S128" s="259"/>
      <c r="T128" s="259"/>
      <c r="U128" s="259"/>
      <c r="V128" s="259"/>
      <c r="W128" s="259"/>
      <c r="X128" s="259"/>
      <c r="Y128" s="259"/>
      <c r="Z128" s="266"/>
      <c r="AA128" s="266"/>
      <c r="AB128" s="266"/>
      <c r="AC128" s="266"/>
      <c r="AD128" s="266"/>
      <c r="AE128" s="257" t="s">
        <v>434</v>
      </c>
      <c r="AF128" s="265"/>
      <c r="AG128" s="265"/>
    </row>
    <row r="129" spans="1:33" hidden="1" x14ac:dyDescent="0.4">
      <c r="A129" s="213"/>
      <c r="B129" s="213"/>
      <c r="C129" s="213"/>
      <c r="D129" s="213"/>
      <c r="E129" s="213"/>
      <c r="F129" s="213"/>
      <c r="G129" s="259"/>
      <c r="H129" s="259"/>
      <c r="I129" s="259"/>
      <c r="J129" s="259"/>
      <c r="K129" s="259"/>
      <c r="L129" s="259"/>
      <c r="M129" s="259"/>
      <c r="N129" s="259"/>
      <c r="O129" s="259"/>
      <c r="P129" s="259"/>
      <c r="Q129" s="259"/>
      <c r="R129" s="259"/>
      <c r="S129" s="259"/>
      <c r="T129" s="259"/>
      <c r="U129" s="259"/>
      <c r="V129" s="259"/>
      <c r="W129" s="259"/>
      <c r="X129" s="259"/>
      <c r="Y129" s="259"/>
      <c r="Z129" s="266"/>
      <c r="AA129" s="266"/>
      <c r="AB129" s="266"/>
      <c r="AC129" s="266"/>
      <c r="AD129" s="266"/>
      <c r="AE129" s="257" t="s">
        <v>435</v>
      </c>
      <c r="AF129" s="265"/>
      <c r="AG129" s="265"/>
    </row>
    <row r="130" spans="1:33" hidden="1" x14ac:dyDescent="0.4">
      <c r="A130" s="213"/>
      <c r="B130" s="213"/>
      <c r="C130" s="213"/>
      <c r="D130" s="213"/>
      <c r="E130" s="213"/>
      <c r="F130" s="213"/>
      <c r="G130" s="259"/>
      <c r="H130" s="259"/>
      <c r="I130" s="259"/>
      <c r="J130" s="259"/>
      <c r="K130" s="259"/>
      <c r="L130" s="259"/>
      <c r="M130" s="259"/>
      <c r="N130" s="259"/>
      <c r="O130" s="259"/>
      <c r="P130" s="259"/>
      <c r="Q130" s="259"/>
      <c r="R130" s="259"/>
      <c r="S130" s="259"/>
      <c r="T130" s="259"/>
      <c r="U130" s="259"/>
      <c r="V130" s="259"/>
      <c r="W130" s="259"/>
      <c r="X130" s="259"/>
      <c r="Y130" s="259"/>
      <c r="Z130" s="266"/>
      <c r="AA130" s="266"/>
      <c r="AB130" s="266"/>
      <c r="AC130" s="266"/>
      <c r="AD130" s="266"/>
      <c r="AE130" s="257" t="s">
        <v>437</v>
      </c>
      <c r="AF130" s="265"/>
      <c r="AG130" s="265"/>
    </row>
    <row r="131" spans="1:33" hidden="1" x14ac:dyDescent="0.4">
      <c r="A131" s="213"/>
      <c r="B131" s="213"/>
      <c r="C131" s="213"/>
      <c r="D131" s="213"/>
      <c r="E131" s="213"/>
      <c r="F131" s="213"/>
      <c r="G131" s="259"/>
      <c r="H131" s="259"/>
      <c r="I131" s="259"/>
      <c r="J131" s="259"/>
      <c r="K131" s="259"/>
      <c r="L131" s="259"/>
      <c r="M131" s="259"/>
      <c r="N131" s="259"/>
      <c r="O131" s="259"/>
      <c r="P131" s="259"/>
      <c r="Q131" s="259"/>
      <c r="R131" s="259"/>
      <c r="S131" s="259"/>
      <c r="T131" s="259"/>
      <c r="U131" s="259"/>
      <c r="V131" s="259"/>
      <c r="W131" s="259"/>
      <c r="X131" s="259"/>
      <c r="Y131" s="259"/>
      <c r="Z131" s="266"/>
      <c r="AA131" s="266"/>
      <c r="AB131" s="266"/>
      <c r="AC131" s="266"/>
      <c r="AD131" s="266"/>
      <c r="AE131" s="257" t="s">
        <v>438</v>
      </c>
      <c r="AF131" s="265"/>
      <c r="AG131" s="265"/>
    </row>
    <row r="132" spans="1:33" hidden="1" x14ac:dyDescent="0.4">
      <c r="A132" s="213"/>
      <c r="B132" s="213"/>
      <c r="C132" s="213"/>
      <c r="D132" s="213"/>
      <c r="E132" s="213"/>
      <c r="F132" s="213"/>
      <c r="G132" s="259"/>
      <c r="H132" s="259"/>
      <c r="I132" s="259"/>
      <c r="J132" s="259"/>
      <c r="K132" s="259"/>
      <c r="L132" s="259"/>
      <c r="M132" s="259"/>
      <c r="N132" s="259"/>
      <c r="O132" s="259"/>
      <c r="P132" s="259"/>
      <c r="Q132" s="259"/>
      <c r="R132" s="259"/>
      <c r="S132" s="259"/>
      <c r="T132" s="259"/>
      <c r="U132" s="259"/>
      <c r="V132" s="259"/>
      <c r="W132" s="259"/>
      <c r="X132" s="259"/>
      <c r="Y132" s="259"/>
      <c r="Z132" s="266"/>
      <c r="AA132" s="266"/>
      <c r="AB132" s="266"/>
      <c r="AC132" s="266"/>
      <c r="AD132" s="266"/>
      <c r="AE132" s="257" t="s">
        <v>439</v>
      </c>
      <c r="AF132" s="265"/>
      <c r="AG132" s="265"/>
    </row>
    <row r="133" spans="1:33" hidden="1" x14ac:dyDescent="0.4">
      <c r="A133" s="213"/>
      <c r="B133" s="213"/>
      <c r="C133" s="213"/>
      <c r="D133" s="213"/>
      <c r="E133" s="213"/>
      <c r="F133" s="213"/>
      <c r="G133" s="259"/>
      <c r="H133" s="259"/>
      <c r="I133" s="259"/>
      <c r="J133" s="259"/>
      <c r="K133" s="259"/>
      <c r="L133" s="259"/>
      <c r="M133" s="259"/>
      <c r="N133" s="259"/>
      <c r="O133" s="259"/>
      <c r="P133" s="259"/>
      <c r="Q133" s="259"/>
      <c r="R133" s="259"/>
      <c r="S133" s="259"/>
      <c r="T133" s="259"/>
      <c r="U133" s="259"/>
      <c r="V133" s="259"/>
      <c r="W133" s="259"/>
      <c r="X133" s="259"/>
      <c r="Y133" s="259"/>
      <c r="Z133" s="266"/>
      <c r="AA133" s="266"/>
      <c r="AB133" s="266"/>
      <c r="AC133" s="266"/>
      <c r="AD133" s="266"/>
      <c r="AF133" s="265"/>
      <c r="AG133" s="265"/>
    </row>
    <row r="134" spans="1:33" hidden="1" x14ac:dyDescent="0.4">
      <c r="A134" s="213"/>
      <c r="B134" s="213"/>
      <c r="C134" s="213"/>
      <c r="D134" s="213"/>
      <c r="E134" s="213"/>
      <c r="F134" s="213"/>
      <c r="G134" s="259"/>
      <c r="H134" s="259"/>
      <c r="I134" s="259"/>
      <c r="J134" s="259"/>
      <c r="K134" s="259"/>
      <c r="L134" s="259"/>
      <c r="M134" s="259"/>
      <c r="N134" s="259"/>
      <c r="O134" s="259"/>
      <c r="P134" s="259"/>
      <c r="Q134" s="259"/>
      <c r="R134" s="259"/>
      <c r="S134" s="259"/>
      <c r="T134" s="259"/>
      <c r="U134" s="259"/>
      <c r="V134" s="259"/>
      <c r="W134" s="259"/>
      <c r="X134" s="259"/>
      <c r="Y134" s="259"/>
      <c r="Z134" s="266"/>
      <c r="AA134" s="266"/>
      <c r="AB134" s="266"/>
      <c r="AC134" s="266"/>
      <c r="AD134" s="266"/>
      <c r="AE134" s="122"/>
      <c r="AF134" s="265"/>
      <c r="AG134" s="265"/>
    </row>
    <row r="135" spans="1:33" hidden="1" x14ac:dyDescent="0.4">
      <c r="A135" s="213"/>
      <c r="B135" s="213"/>
      <c r="C135" s="213"/>
      <c r="D135" s="213"/>
      <c r="E135" s="213"/>
      <c r="F135" s="213"/>
      <c r="G135" s="259"/>
      <c r="H135" s="259"/>
      <c r="I135" s="259"/>
      <c r="J135" s="259"/>
      <c r="K135" s="259"/>
      <c r="L135" s="259"/>
      <c r="M135" s="259"/>
      <c r="N135" s="259"/>
      <c r="O135" s="259"/>
      <c r="P135" s="259"/>
      <c r="Q135" s="259"/>
      <c r="R135" s="259"/>
      <c r="S135" s="259"/>
      <c r="T135" s="259"/>
      <c r="U135" s="259"/>
      <c r="V135" s="259"/>
      <c r="W135" s="259"/>
      <c r="X135" s="259"/>
      <c r="Y135" s="259"/>
      <c r="Z135" s="266"/>
      <c r="AA135" s="266"/>
      <c r="AB135" s="266"/>
      <c r="AC135" s="266"/>
      <c r="AD135" s="266"/>
      <c r="AE135" s="122"/>
      <c r="AF135" s="265"/>
      <c r="AG135" s="265"/>
    </row>
    <row r="136" spans="1:33" hidden="1" x14ac:dyDescent="0.4">
      <c r="A136" s="213"/>
      <c r="B136" s="213"/>
      <c r="C136" s="213"/>
      <c r="D136" s="213"/>
      <c r="E136" s="213"/>
      <c r="F136" s="213"/>
      <c r="G136" s="259"/>
      <c r="H136" s="259"/>
      <c r="I136" s="259"/>
      <c r="J136" s="259"/>
      <c r="K136" s="259"/>
      <c r="L136" s="259"/>
      <c r="M136" s="259"/>
      <c r="N136" s="259"/>
      <c r="O136" s="259"/>
      <c r="P136" s="259"/>
      <c r="Q136" s="259"/>
      <c r="R136" s="259"/>
      <c r="S136" s="259"/>
      <c r="T136" s="259"/>
      <c r="U136" s="259"/>
      <c r="V136" s="259"/>
      <c r="W136" s="259"/>
      <c r="X136" s="259"/>
      <c r="Y136" s="259"/>
      <c r="Z136" s="266"/>
      <c r="AA136" s="266"/>
      <c r="AB136" s="266"/>
      <c r="AC136" s="266"/>
      <c r="AD136" s="266"/>
      <c r="AE136" s="122"/>
      <c r="AF136" s="265"/>
      <c r="AG136" s="265"/>
    </row>
    <row r="137" spans="1:33" hidden="1" x14ac:dyDescent="0.4">
      <c r="A137" s="213"/>
      <c r="B137" s="213"/>
      <c r="C137" s="213"/>
      <c r="D137" s="213"/>
      <c r="E137" s="213"/>
      <c r="F137" s="213"/>
      <c r="G137" s="259"/>
      <c r="H137" s="259"/>
      <c r="I137" s="259"/>
      <c r="J137" s="259"/>
      <c r="K137" s="259"/>
      <c r="L137" s="259"/>
      <c r="M137" s="259"/>
      <c r="N137" s="259"/>
      <c r="O137" s="259"/>
      <c r="P137" s="259"/>
      <c r="Q137" s="259"/>
      <c r="R137" s="259"/>
      <c r="S137" s="259"/>
      <c r="T137" s="259"/>
      <c r="U137" s="259"/>
      <c r="V137" s="259"/>
      <c r="W137" s="259"/>
      <c r="X137" s="259"/>
      <c r="Y137" s="259"/>
      <c r="Z137" s="266"/>
      <c r="AA137" s="266"/>
      <c r="AB137" s="266"/>
      <c r="AC137" s="266"/>
      <c r="AD137" s="266"/>
      <c r="AE137" s="122"/>
      <c r="AF137" s="265"/>
      <c r="AG137" s="265"/>
    </row>
    <row r="138" spans="1:33" hidden="1" x14ac:dyDescent="0.4">
      <c r="A138" s="213"/>
      <c r="B138" s="213"/>
      <c r="C138" s="213"/>
      <c r="D138" s="213"/>
      <c r="E138" s="213"/>
      <c r="F138" s="213"/>
      <c r="G138" s="259"/>
      <c r="H138" s="259"/>
      <c r="I138" s="259"/>
      <c r="J138" s="259"/>
      <c r="K138" s="259"/>
      <c r="L138" s="259"/>
      <c r="M138" s="259"/>
      <c r="N138" s="259"/>
      <c r="O138" s="259"/>
      <c r="P138" s="259"/>
      <c r="Q138" s="259"/>
      <c r="R138" s="259"/>
      <c r="S138" s="259"/>
      <c r="T138" s="259"/>
      <c r="U138" s="259"/>
      <c r="V138" s="259"/>
      <c r="W138" s="259"/>
      <c r="X138" s="259"/>
      <c r="Y138" s="259"/>
      <c r="Z138" s="266"/>
      <c r="AA138" s="266"/>
      <c r="AB138" s="266"/>
      <c r="AC138" s="266"/>
      <c r="AD138" s="266"/>
      <c r="AE138" s="122"/>
      <c r="AF138" s="265"/>
      <c r="AG138" s="265"/>
    </row>
    <row r="139" spans="1:33" hidden="1" x14ac:dyDescent="0.4">
      <c r="A139" s="213"/>
      <c r="B139" s="213"/>
      <c r="C139" s="213"/>
      <c r="D139" s="213"/>
      <c r="E139" s="213"/>
      <c r="F139" s="213"/>
      <c r="G139" s="259"/>
      <c r="H139" s="259"/>
      <c r="I139" s="259"/>
      <c r="J139" s="259"/>
      <c r="K139" s="259"/>
      <c r="L139" s="259"/>
      <c r="M139" s="259"/>
      <c r="N139" s="259"/>
      <c r="O139" s="259"/>
      <c r="P139" s="259"/>
      <c r="Q139" s="259"/>
      <c r="R139" s="259"/>
      <c r="S139" s="259"/>
      <c r="T139" s="259"/>
      <c r="U139" s="259"/>
      <c r="V139" s="259"/>
      <c r="W139" s="259"/>
      <c r="X139" s="259"/>
      <c r="Y139" s="259"/>
      <c r="Z139" s="266"/>
      <c r="AA139" s="266"/>
      <c r="AB139" s="266"/>
      <c r="AC139" s="266"/>
      <c r="AD139" s="266"/>
      <c r="AE139" s="122"/>
      <c r="AF139" s="265"/>
      <c r="AG139" s="265"/>
    </row>
    <row r="140" spans="1:33" hidden="1" x14ac:dyDescent="0.4">
      <c r="A140" s="213"/>
      <c r="B140" s="213"/>
      <c r="C140" s="213"/>
      <c r="D140" s="213"/>
      <c r="E140" s="213"/>
      <c r="F140" s="213"/>
      <c r="G140" s="259"/>
      <c r="H140" s="259"/>
      <c r="I140" s="259"/>
      <c r="J140" s="259"/>
      <c r="K140" s="259"/>
      <c r="L140" s="259"/>
      <c r="M140" s="259"/>
      <c r="N140" s="259"/>
      <c r="O140" s="259"/>
      <c r="P140" s="259"/>
      <c r="Q140" s="259"/>
      <c r="R140" s="259"/>
      <c r="S140" s="259"/>
      <c r="T140" s="259"/>
      <c r="U140" s="259"/>
      <c r="V140" s="259"/>
      <c r="W140" s="259"/>
      <c r="X140" s="259"/>
      <c r="Y140" s="259"/>
      <c r="Z140" s="266"/>
      <c r="AA140" s="266"/>
      <c r="AB140" s="266"/>
      <c r="AC140" s="266"/>
      <c r="AD140" s="266"/>
      <c r="AE140" s="122"/>
      <c r="AF140" s="265"/>
      <c r="AG140" s="265"/>
    </row>
    <row r="141" spans="1:33" hidden="1" x14ac:dyDescent="0.4">
      <c r="A141" s="213"/>
      <c r="B141" s="213"/>
      <c r="C141" s="213"/>
      <c r="D141" s="213"/>
      <c r="E141" s="213"/>
      <c r="F141" s="213"/>
      <c r="G141" s="259"/>
      <c r="H141" s="259"/>
      <c r="I141" s="259"/>
      <c r="J141" s="259"/>
      <c r="K141" s="259"/>
      <c r="L141" s="259"/>
      <c r="M141" s="259"/>
      <c r="N141" s="259"/>
      <c r="O141" s="259"/>
      <c r="P141" s="259"/>
      <c r="Q141" s="259"/>
      <c r="R141" s="259"/>
      <c r="S141" s="259"/>
      <c r="T141" s="259"/>
      <c r="U141" s="259"/>
      <c r="V141" s="259"/>
      <c r="W141" s="259"/>
      <c r="X141" s="259"/>
      <c r="Y141" s="259"/>
      <c r="Z141" s="266"/>
      <c r="AA141" s="266"/>
      <c r="AB141" s="266"/>
      <c r="AC141" s="266"/>
      <c r="AD141" s="266"/>
      <c r="AE141" s="122"/>
      <c r="AF141" s="265"/>
      <c r="AG141" s="265"/>
    </row>
    <row r="142" spans="1:33" hidden="1" x14ac:dyDescent="0.4">
      <c r="A142" s="213"/>
      <c r="B142" s="213"/>
      <c r="C142" s="213"/>
      <c r="D142" s="213"/>
      <c r="E142" s="213"/>
      <c r="F142" s="213"/>
      <c r="G142" s="259"/>
      <c r="H142" s="259"/>
      <c r="I142" s="259"/>
      <c r="J142" s="259"/>
      <c r="K142" s="259"/>
      <c r="L142" s="259"/>
      <c r="M142" s="259"/>
      <c r="N142" s="259"/>
      <c r="O142" s="259"/>
      <c r="P142" s="259"/>
      <c r="Q142" s="259"/>
      <c r="R142" s="259"/>
      <c r="S142" s="259"/>
      <c r="T142" s="259"/>
      <c r="U142" s="259"/>
      <c r="V142" s="259"/>
      <c r="W142" s="259"/>
      <c r="X142" s="259"/>
      <c r="Y142" s="259"/>
      <c r="Z142" s="266"/>
      <c r="AA142" s="266"/>
      <c r="AB142" s="266"/>
      <c r="AC142" s="266"/>
      <c r="AD142" s="266"/>
      <c r="AE142" s="122"/>
      <c r="AF142" s="265"/>
      <c r="AG142" s="265"/>
    </row>
    <row r="143" spans="1:33" hidden="1" x14ac:dyDescent="0.4">
      <c r="A143" s="117"/>
      <c r="B143" s="117"/>
      <c r="C143" s="117"/>
      <c r="D143" s="117"/>
      <c r="E143" s="117"/>
      <c r="F143" s="117"/>
      <c r="G143"/>
      <c r="H143"/>
      <c r="I143"/>
      <c r="J143"/>
      <c r="K143"/>
      <c r="L143"/>
    </row>
    <row r="144" spans="1:33" x14ac:dyDescent="0.4">
      <c r="A144" s="117"/>
      <c r="B144" s="117"/>
      <c r="C144" s="117"/>
      <c r="D144" s="117"/>
      <c r="E144" s="117"/>
      <c r="F144" s="117"/>
      <c r="G144"/>
      <c r="H144"/>
      <c r="I144"/>
      <c r="J144"/>
      <c r="K144"/>
      <c r="L144"/>
    </row>
    <row r="145" spans="1:12" x14ac:dyDescent="0.4">
      <c r="A145" s="117"/>
      <c r="B145" s="117"/>
      <c r="C145" s="117"/>
      <c r="D145" s="117"/>
      <c r="E145" s="117"/>
      <c r="F145" s="117"/>
      <c r="G145"/>
      <c r="H145"/>
      <c r="I145"/>
      <c r="J145"/>
      <c r="K145"/>
      <c r="L145"/>
    </row>
    <row r="146" spans="1:12" x14ac:dyDescent="0.4">
      <c r="A146" s="117"/>
      <c r="B146" s="117"/>
      <c r="C146" s="117"/>
      <c r="D146" s="117"/>
      <c r="E146" s="117"/>
      <c r="F146" s="117"/>
      <c r="G146"/>
      <c r="H146"/>
      <c r="I146"/>
      <c r="J146"/>
      <c r="K146"/>
      <c r="L146"/>
    </row>
    <row r="147" spans="1:12" x14ac:dyDescent="0.4">
      <c r="A147" s="117"/>
      <c r="B147" s="117"/>
      <c r="C147" s="117"/>
      <c r="D147" s="117"/>
      <c r="E147" s="117"/>
      <c r="F147" s="117"/>
      <c r="G147"/>
      <c r="H147"/>
      <c r="I147"/>
      <c r="J147"/>
      <c r="K147"/>
      <c r="L147"/>
    </row>
    <row r="148" spans="1:12" x14ac:dyDescent="0.4">
      <c r="A148" s="117"/>
      <c r="B148" s="117"/>
      <c r="C148" s="117"/>
      <c r="D148" s="117"/>
      <c r="E148" s="117"/>
      <c r="F148" s="117"/>
      <c r="G148"/>
      <c r="H148"/>
      <c r="I148"/>
      <c r="J148"/>
      <c r="K148"/>
      <c r="L148"/>
    </row>
    <row r="149" spans="1:12" x14ac:dyDescent="0.4">
      <c r="A149" s="117"/>
      <c r="B149" s="117"/>
      <c r="C149" s="117"/>
      <c r="D149" s="117"/>
      <c r="E149" s="117"/>
      <c r="F149" s="117"/>
      <c r="G149"/>
      <c r="H149"/>
      <c r="I149"/>
      <c r="J149"/>
      <c r="K149"/>
      <c r="L149"/>
    </row>
    <row r="150" spans="1:12" x14ac:dyDescent="0.4">
      <c r="A150" s="117"/>
      <c r="B150" s="117"/>
      <c r="C150" s="117"/>
      <c r="D150" s="117"/>
      <c r="E150" s="117"/>
      <c r="F150" s="117"/>
      <c r="G150"/>
      <c r="H150"/>
      <c r="I150"/>
      <c r="J150"/>
      <c r="K150"/>
      <c r="L150"/>
    </row>
    <row r="151" spans="1:12" x14ac:dyDescent="0.4">
      <c r="A151" s="117"/>
      <c r="B151" s="117"/>
      <c r="C151" s="117"/>
      <c r="D151" s="117"/>
      <c r="E151" s="117"/>
      <c r="F151" s="117"/>
      <c r="G151"/>
      <c r="H151"/>
      <c r="I151"/>
      <c r="J151"/>
      <c r="K151"/>
      <c r="L151"/>
    </row>
    <row r="152" spans="1:12" x14ac:dyDescent="0.4">
      <c r="A152" s="117"/>
      <c r="B152" s="117"/>
      <c r="C152" s="117"/>
      <c r="D152" s="117"/>
      <c r="E152" s="117"/>
      <c r="F152" s="117"/>
      <c r="G152"/>
      <c r="H152"/>
      <c r="I152"/>
      <c r="J152"/>
      <c r="K152"/>
      <c r="L152"/>
    </row>
    <row r="153" spans="1:12" x14ac:dyDescent="0.4">
      <c r="A153" s="117"/>
      <c r="B153" s="117"/>
      <c r="C153" s="117"/>
      <c r="D153" s="117"/>
      <c r="E153" s="117"/>
      <c r="F153" s="117"/>
      <c r="G153"/>
      <c r="H153"/>
      <c r="I153"/>
      <c r="J153"/>
      <c r="K153"/>
      <c r="L153"/>
    </row>
    <row r="154" spans="1:12" x14ac:dyDescent="0.4">
      <c r="A154" s="117"/>
      <c r="B154" s="117"/>
      <c r="C154" s="117"/>
      <c r="D154" s="117"/>
      <c r="E154" s="117"/>
      <c r="F154" s="117"/>
      <c r="G154"/>
      <c r="H154"/>
      <c r="I154"/>
      <c r="J154"/>
      <c r="K154"/>
      <c r="L154"/>
    </row>
    <row r="155" spans="1:12" x14ac:dyDescent="0.4">
      <c r="A155" s="117"/>
      <c r="B155" s="117"/>
      <c r="C155" s="117"/>
      <c r="D155" s="117"/>
      <c r="E155" s="117"/>
      <c r="F155" s="117"/>
      <c r="G155"/>
      <c r="H155"/>
      <c r="I155"/>
      <c r="J155"/>
      <c r="K155"/>
      <c r="L155"/>
    </row>
    <row r="156" spans="1:12" x14ac:dyDescent="0.4">
      <c r="A156" s="117"/>
      <c r="B156" s="117"/>
      <c r="C156" s="117"/>
      <c r="D156" s="117"/>
      <c r="E156" s="117"/>
      <c r="F156" s="117"/>
      <c r="G156"/>
      <c r="H156"/>
      <c r="I156"/>
      <c r="J156"/>
      <c r="K156"/>
      <c r="L156"/>
    </row>
    <row r="157" spans="1:12" x14ac:dyDescent="0.4">
      <c r="A157" s="117"/>
      <c r="B157" s="117"/>
      <c r="C157" s="117"/>
      <c r="D157" s="117"/>
      <c r="E157" s="117"/>
      <c r="F157" s="117"/>
      <c r="G157"/>
      <c r="H157"/>
      <c r="I157"/>
      <c r="J157"/>
      <c r="K157"/>
      <c r="L157"/>
    </row>
    <row r="158" spans="1:12" x14ac:dyDescent="0.4">
      <c r="A158" s="117"/>
      <c r="B158" s="117"/>
      <c r="C158" s="117"/>
      <c r="D158" s="117"/>
      <c r="E158" s="117"/>
      <c r="F158" s="117"/>
      <c r="G158"/>
      <c r="H158"/>
      <c r="I158"/>
      <c r="J158"/>
      <c r="K158"/>
      <c r="L158"/>
    </row>
    <row r="159" spans="1:12" x14ac:dyDescent="0.4">
      <c r="A159" s="117"/>
      <c r="B159" s="117"/>
      <c r="C159" s="117"/>
      <c r="D159" s="117"/>
      <c r="E159" s="117"/>
      <c r="F159" s="117"/>
      <c r="G159"/>
      <c r="H159"/>
      <c r="I159"/>
      <c r="J159"/>
      <c r="K159"/>
      <c r="L159"/>
    </row>
    <row r="160" spans="1:12" x14ac:dyDescent="0.4">
      <c r="A160" s="117"/>
      <c r="B160" s="117"/>
      <c r="C160" s="117"/>
      <c r="D160" s="117"/>
      <c r="E160" s="117"/>
      <c r="F160" s="117"/>
      <c r="G160"/>
      <c r="H160"/>
      <c r="I160"/>
      <c r="J160"/>
      <c r="K160"/>
      <c r="L160"/>
    </row>
    <row r="161" spans="1:12" x14ac:dyDescent="0.4">
      <c r="A161" s="117"/>
      <c r="B161" s="117"/>
      <c r="C161" s="117"/>
      <c r="D161" s="117"/>
      <c r="E161" s="117"/>
      <c r="F161" s="117"/>
      <c r="G161"/>
      <c r="H161"/>
      <c r="I161"/>
      <c r="J161"/>
      <c r="K161"/>
      <c r="L161"/>
    </row>
    <row r="162" spans="1:12" x14ac:dyDescent="0.4">
      <c r="A162" s="117"/>
      <c r="B162" s="117"/>
      <c r="C162" s="117"/>
      <c r="D162" s="117"/>
      <c r="E162" s="117"/>
      <c r="F162" s="117"/>
      <c r="G162"/>
      <c r="H162"/>
      <c r="I162"/>
      <c r="J162"/>
      <c r="K162"/>
      <c r="L162"/>
    </row>
    <row r="163" spans="1:12" x14ac:dyDescent="0.4">
      <c r="A163" s="117"/>
      <c r="B163" s="117"/>
      <c r="C163" s="117"/>
      <c r="D163" s="117"/>
      <c r="E163" s="117"/>
      <c r="F163" s="117"/>
      <c r="G163"/>
      <c r="H163"/>
      <c r="I163"/>
      <c r="J163"/>
      <c r="K163"/>
      <c r="L163"/>
    </row>
    <row r="164" spans="1:12" x14ac:dyDescent="0.4">
      <c r="A164" s="117"/>
      <c r="B164" s="117"/>
      <c r="C164" s="117"/>
      <c r="D164" s="117"/>
      <c r="E164" s="117"/>
      <c r="F164" s="117"/>
      <c r="G164"/>
      <c r="H164"/>
      <c r="I164"/>
      <c r="J164"/>
      <c r="K164"/>
      <c r="L164"/>
    </row>
    <row r="165" spans="1:12" x14ac:dyDescent="0.4">
      <c r="A165" s="117"/>
      <c r="B165" s="117"/>
      <c r="C165" s="117"/>
      <c r="D165" s="117"/>
      <c r="E165" s="117"/>
      <c r="F165" s="117"/>
      <c r="G165"/>
      <c r="H165"/>
      <c r="I165"/>
      <c r="J165"/>
      <c r="K165"/>
      <c r="L165"/>
    </row>
    <row r="166" spans="1:12" x14ac:dyDescent="0.4">
      <c r="A166" s="117"/>
      <c r="B166" s="117"/>
      <c r="C166" s="117"/>
      <c r="D166" s="117"/>
      <c r="E166" s="117"/>
      <c r="F166" s="117"/>
      <c r="G166"/>
      <c r="H166"/>
      <c r="I166"/>
      <c r="J166"/>
      <c r="K166"/>
      <c r="L166"/>
    </row>
    <row r="167" spans="1:12" x14ac:dyDescent="0.4">
      <c r="A167" s="117"/>
      <c r="B167" s="117"/>
      <c r="C167" s="117"/>
      <c r="D167" s="117"/>
      <c r="E167" s="117"/>
      <c r="F167" s="117"/>
      <c r="G167"/>
      <c r="H167"/>
      <c r="I167"/>
      <c r="J167"/>
      <c r="K167"/>
      <c r="L167"/>
    </row>
    <row r="168" spans="1:12" x14ac:dyDescent="0.4">
      <c r="A168" s="117"/>
      <c r="B168" s="117"/>
      <c r="C168" s="117"/>
      <c r="D168" s="117"/>
      <c r="E168" s="117"/>
      <c r="F168" s="117"/>
      <c r="G168"/>
      <c r="H168"/>
      <c r="I168"/>
      <c r="J168"/>
      <c r="K168"/>
      <c r="L168"/>
    </row>
    <row r="169" spans="1:12" x14ac:dyDescent="0.4">
      <c r="A169" s="117"/>
      <c r="B169" s="117"/>
      <c r="C169" s="117"/>
      <c r="D169" s="117"/>
      <c r="E169" s="117"/>
      <c r="F169" s="117"/>
      <c r="G169"/>
      <c r="H169"/>
      <c r="I169"/>
      <c r="J169"/>
      <c r="K169"/>
      <c r="L169"/>
    </row>
    <row r="170" spans="1:12" x14ac:dyDescent="0.4">
      <c r="A170" s="117"/>
      <c r="B170" s="117"/>
      <c r="C170" s="117"/>
      <c r="D170" s="117"/>
      <c r="E170" s="117"/>
      <c r="F170" s="117"/>
      <c r="G170"/>
      <c r="H170"/>
      <c r="I170"/>
      <c r="J170"/>
      <c r="K170"/>
      <c r="L170"/>
    </row>
    <row r="171" spans="1:12" x14ac:dyDescent="0.4">
      <c r="A171" s="117"/>
      <c r="B171" s="117"/>
      <c r="C171" s="117"/>
      <c r="D171" s="117"/>
      <c r="E171" s="117"/>
      <c r="F171" s="117"/>
      <c r="G171"/>
      <c r="H171"/>
      <c r="I171"/>
      <c r="J171"/>
      <c r="K171"/>
      <c r="L171"/>
    </row>
    <row r="172" spans="1:12" x14ac:dyDescent="0.4">
      <c r="A172" s="117"/>
      <c r="B172" s="117"/>
      <c r="C172" s="117"/>
      <c r="D172" s="117"/>
      <c r="E172" s="117"/>
      <c r="F172" s="117"/>
      <c r="G172"/>
      <c r="H172"/>
      <c r="I172"/>
      <c r="J172"/>
      <c r="L172"/>
    </row>
    <row r="173" spans="1:12" x14ac:dyDescent="0.4">
      <c r="A173" s="117"/>
      <c r="B173" s="117"/>
      <c r="C173" s="117"/>
      <c r="D173" s="117"/>
      <c r="E173" s="117"/>
      <c r="F173" s="117"/>
      <c r="G173"/>
      <c r="H173"/>
      <c r="I173"/>
      <c r="J173"/>
      <c r="L173"/>
    </row>
    <row r="174" spans="1:12" x14ac:dyDescent="0.4">
      <c r="A174" s="117"/>
      <c r="B174" s="117"/>
      <c r="C174" s="117"/>
      <c r="D174" s="117"/>
      <c r="E174" s="117"/>
      <c r="F174" s="117"/>
      <c r="G174"/>
      <c r="H174"/>
      <c r="I174"/>
      <c r="J174"/>
      <c r="L174"/>
    </row>
    <row r="175" spans="1:12" x14ac:dyDescent="0.4">
      <c r="A175" s="117"/>
      <c r="B175" s="117"/>
      <c r="C175" s="117"/>
      <c r="D175" s="117"/>
      <c r="E175" s="117"/>
      <c r="F175" s="117"/>
      <c r="G175"/>
      <c r="H175"/>
      <c r="I175"/>
      <c r="J175"/>
      <c r="L175"/>
    </row>
    <row r="176" spans="1:12" x14ac:dyDescent="0.4">
      <c r="A176" s="117"/>
      <c r="B176" s="117"/>
      <c r="C176" s="117"/>
      <c r="D176" s="117"/>
      <c r="E176" s="117"/>
      <c r="F176" s="117"/>
      <c r="I176"/>
      <c r="L176"/>
    </row>
  </sheetData>
  <sheetProtection sheet="1" objects="1" scenarios="1"/>
  <mergeCells count="12">
    <mergeCell ref="F8:G8"/>
    <mergeCell ref="J8:K8"/>
    <mergeCell ref="R22:S22"/>
    <mergeCell ref="R23:S23"/>
    <mergeCell ref="R24:S24"/>
    <mergeCell ref="J9:K9"/>
    <mergeCell ref="R25:S25"/>
    <mergeCell ref="R26:S26"/>
    <mergeCell ref="J10:K10"/>
    <mergeCell ref="J11:K11"/>
    <mergeCell ref="J12:K12"/>
    <mergeCell ref="J13:K13"/>
  </mergeCells>
  <phoneticPr fontId="2"/>
  <conditionalFormatting sqref="D9:D11 B9:B15 D13:D14 B17:B19">
    <cfRule type="containsBlanks" dxfId="3" priority="1">
      <formula>LEN(TRIM(B9))=0</formula>
    </cfRule>
  </conditionalFormatting>
  <dataValidations disablePrompts="1" count="16">
    <dataValidation type="list" allowBlank="1" showInputMessage="1" showErrorMessage="1" sqref="B16" xr:uid="{1DFA4D43-E12F-425E-9B59-3EA941F5A369}">
      <formula1>$A$24:$A$35</formula1>
    </dataValidation>
    <dataValidation type="list" allowBlank="1" showInputMessage="1" showErrorMessage="1" sqref="B15" xr:uid="{41C1530D-6ACD-4563-8013-2C0F5C1C8EEE}">
      <formula1>$A$23:$A$35</formula1>
    </dataValidation>
    <dataValidation type="list" allowBlank="1" showInputMessage="1" showErrorMessage="1" sqref="B39:B43 E39" xr:uid="{3FED32C1-0643-4B9F-8A79-538594792F37}">
      <formula1>$C$24:$C$35</formula1>
    </dataValidation>
    <dataValidation type="list" allowBlank="1" showInputMessage="1" showErrorMessage="1" sqref="B11" xr:uid="{56894225-5F78-4A6B-8279-EF50B74D41E0}">
      <formula1>$A$72:$A$176</formula1>
    </dataValidation>
    <dataValidation type="list" allowBlank="1" showInputMessage="1" showErrorMessage="1" sqref="D10:D11" xr:uid="{5E537AEF-97E6-42EC-8F3B-963F5E8993B8}">
      <formula1>$F$72:$F$176</formula1>
    </dataValidation>
    <dataValidation type="list" allowBlank="1" showInputMessage="1" showErrorMessage="1" sqref="B12 D43" xr:uid="{50C7CC84-8593-4A21-BBB1-B3B2F480F904}">
      <formula1>$N$72:$N$95</formula1>
    </dataValidation>
    <dataValidation type="list" errorStyle="warning" allowBlank="1" showInputMessage="1" showErrorMessage="1" sqref="G9:G19" xr:uid="{6A9158F5-6D9D-4F3A-9AC0-7E61241EF739}">
      <formula1>$AA$72:$AA$100</formula1>
    </dataValidation>
    <dataValidation type="list" allowBlank="1" showInputMessage="1" showErrorMessage="1" sqref="D9" xr:uid="{F0CEA185-1235-47DC-B60F-9A08AFBC62E8}">
      <formula1>$M$72:$M$95</formula1>
    </dataValidation>
    <dataValidation type="list" errorStyle="warning" allowBlank="1" showInputMessage="1" showErrorMessage="1" error="リスト選択以外のものを入力する場合は、『返送書類リスト』⒉ご準備頂きたい書類の『詳細』や『通数』をご自身で入力してください。" sqref="J9:J13" xr:uid="{03E17075-D49D-4F89-8946-70412A4DA6D6}">
      <formula1>$AC$72:$AC$95</formula1>
    </dataValidation>
    <dataValidation type="list" allowBlank="1" showInputMessage="1" showErrorMessage="1" sqref="D10" xr:uid="{5170580A-20AA-43ED-8615-CFC0D967D7FB}">
      <formula1>$G$72:$G$175</formula1>
    </dataValidation>
    <dataValidation type="list" allowBlank="1" showInputMessage="1" showErrorMessage="1" sqref="D13 B13" xr:uid="{F7BC9C9E-4BAC-40D5-B296-468A28DF17BE}">
      <formula1>$G$72:$G$200</formula1>
    </dataValidation>
    <dataValidation type="list" errorStyle="information" allowBlank="1" showInputMessage="1" showErrorMessage="1" sqref="E43" xr:uid="{F9044D1D-EF8D-45BC-8F7D-34594C16FF0D}">
      <formula1>$G$72:$G$175</formula1>
    </dataValidation>
    <dataValidation type="list" allowBlank="1" showInputMessage="1" sqref="B49:B67" xr:uid="{A60E9D33-F258-4FAD-A21C-6D77892EA805}">
      <formula1>$AE$72:$AE$132</formula1>
    </dataValidation>
    <dataValidation type="list" allowBlank="1" showInputMessage="1" showErrorMessage="1" sqref="D14" xr:uid="{2A174BB8-C8A9-48A8-91D1-B28579D1F368}">
      <formula1>$AF$72:$AF$143</formula1>
    </dataValidation>
    <dataValidation type="list" errorStyle="information" allowBlank="1" showInputMessage="1" sqref="B24:B35" xr:uid="{4E5474F2-8FCC-405A-A8B1-6CFA43AA0926}">
      <formula1>$L$72:$L$108</formula1>
    </dataValidation>
    <dataValidation type="list" allowBlank="1" showInputMessage="1" showErrorMessage="1" sqref="D11" xr:uid="{4C3380D6-9625-4CA7-9F46-2AA08839F128}">
      <formula1>$L$72:$L$176</formula1>
    </dataValidation>
  </dataValidations>
  <pageMargins left="0.7" right="0.7" top="0.75" bottom="0.75" header="0.3" footer="0.3"/>
  <pageSetup paperSize="9" scale="21"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3" r:id="rId4" name="Check Box 3">
              <controlPr defaultSize="0" autoFill="0" autoLine="0" autoPict="0">
                <anchor moveWithCells="1">
                  <from>
                    <xdr:col>7</xdr:col>
                    <xdr:colOff>628650</xdr:colOff>
                    <xdr:row>8</xdr:row>
                    <xdr:rowOff>28575</xdr:rowOff>
                  </from>
                  <to>
                    <xdr:col>7</xdr:col>
                    <xdr:colOff>990600</xdr:colOff>
                    <xdr:row>9</xdr:row>
                    <xdr:rowOff>38100</xdr:rowOff>
                  </to>
                </anchor>
              </controlPr>
            </control>
          </mc:Choice>
        </mc:AlternateContent>
        <mc:AlternateContent xmlns:mc="http://schemas.openxmlformats.org/markup-compatibility/2006">
          <mc:Choice Requires="x14">
            <control shapeId="5124" r:id="rId5" name="Check Box 4">
              <controlPr defaultSize="0" autoFill="0" autoLine="0" autoPict="0">
                <anchor moveWithCells="1">
                  <from>
                    <xdr:col>7</xdr:col>
                    <xdr:colOff>628650</xdr:colOff>
                    <xdr:row>9</xdr:row>
                    <xdr:rowOff>28575</xdr:rowOff>
                  </from>
                  <to>
                    <xdr:col>7</xdr:col>
                    <xdr:colOff>990600</xdr:colOff>
                    <xdr:row>10</xdr:row>
                    <xdr:rowOff>38100</xdr:rowOff>
                  </to>
                </anchor>
              </controlPr>
            </control>
          </mc:Choice>
        </mc:AlternateContent>
        <mc:AlternateContent xmlns:mc="http://schemas.openxmlformats.org/markup-compatibility/2006">
          <mc:Choice Requires="x14">
            <control shapeId="5125" r:id="rId6" name="Check Box 5">
              <controlPr defaultSize="0" autoFill="0" autoLine="0" autoPict="0">
                <anchor moveWithCells="1">
                  <from>
                    <xdr:col>7</xdr:col>
                    <xdr:colOff>628650</xdr:colOff>
                    <xdr:row>10</xdr:row>
                    <xdr:rowOff>28575</xdr:rowOff>
                  </from>
                  <to>
                    <xdr:col>7</xdr:col>
                    <xdr:colOff>990600</xdr:colOff>
                    <xdr:row>11</xdr:row>
                    <xdr:rowOff>38100</xdr:rowOff>
                  </to>
                </anchor>
              </controlPr>
            </control>
          </mc:Choice>
        </mc:AlternateContent>
        <mc:AlternateContent xmlns:mc="http://schemas.openxmlformats.org/markup-compatibility/2006">
          <mc:Choice Requires="x14">
            <control shapeId="5126" r:id="rId7" name="Check Box 6">
              <controlPr defaultSize="0" autoFill="0" autoLine="0" autoPict="0">
                <anchor moveWithCells="1">
                  <from>
                    <xdr:col>7</xdr:col>
                    <xdr:colOff>628650</xdr:colOff>
                    <xdr:row>11</xdr:row>
                    <xdr:rowOff>28575</xdr:rowOff>
                  </from>
                  <to>
                    <xdr:col>7</xdr:col>
                    <xdr:colOff>990600</xdr:colOff>
                    <xdr:row>12</xdr:row>
                    <xdr:rowOff>38100</xdr:rowOff>
                  </to>
                </anchor>
              </controlPr>
            </control>
          </mc:Choice>
        </mc:AlternateContent>
        <mc:AlternateContent xmlns:mc="http://schemas.openxmlformats.org/markup-compatibility/2006">
          <mc:Choice Requires="x14">
            <control shapeId="5127" r:id="rId8" name="Check Box 7">
              <controlPr defaultSize="0" autoFill="0" autoLine="0" autoPict="0">
                <anchor moveWithCells="1">
                  <from>
                    <xdr:col>7</xdr:col>
                    <xdr:colOff>628650</xdr:colOff>
                    <xdr:row>12</xdr:row>
                    <xdr:rowOff>28575</xdr:rowOff>
                  </from>
                  <to>
                    <xdr:col>7</xdr:col>
                    <xdr:colOff>990600</xdr:colOff>
                    <xdr:row>13</xdr:row>
                    <xdr:rowOff>38100</xdr:rowOff>
                  </to>
                </anchor>
              </controlPr>
            </control>
          </mc:Choice>
        </mc:AlternateContent>
        <mc:AlternateContent xmlns:mc="http://schemas.openxmlformats.org/markup-compatibility/2006">
          <mc:Choice Requires="x14">
            <control shapeId="5128" r:id="rId9" name="Check Box 8">
              <controlPr defaultSize="0" autoFill="0" autoLine="0" autoPict="0">
                <anchor moveWithCells="1">
                  <from>
                    <xdr:col>7</xdr:col>
                    <xdr:colOff>628650</xdr:colOff>
                    <xdr:row>13</xdr:row>
                    <xdr:rowOff>28575</xdr:rowOff>
                  </from>
                  <to>
                    <xdr:col>7</xdr:col>
                    <xdr:colOff>990600</xdr:colOff>
                    <xdr:row>14</xdr:row>
                    <xdr:rowOff>38100</xdr:rowOff>
                  </to>
                </anchor>
              </controlPr>
            </control>
          </mc:Choice>
        </mc:AlternateContent>
        <mc:AlternateContent xmlns:mc="http://schemas.openxmlformats.org/markup-compatibility/2006">
          <mc:Choice Requires="x14">
            <control shapeId="5129" r:id="rId10" name="Check Box 9">
              <controlPr defaultSize="0" autoFill="0" autoLine="0" autoPict="0">
                <anchor moveWithCells="1">
                  <from>
                    <xdr:col>7</xdr:col>
                    <xdr:colOff>628650</xdr:colOff>
                    <xdr:row>14</xdr:row>
                    <xdr:rowOff>28575</xdr:rowOff>
                  </from>
                  <to>
                    <xdr:col>7</xdr:col>
                    <xdr:colOff>990600</xdr:colOff>
                    <xdr:row>15</xdr:row>
                    <xdr:rowOff>38100</xdr:rowOff>
                  </to>
                </anchor>
              </controlPr>
            </control>
          </mc:Choice>
        </mc:AlternateContent>
        <mc:AlternateContent xmlns:mc="http://schemas.openxmlformats.org/markup-compatibility/2006">
          <mc:Choice Requires="x14">
            <control shapeId="5130" r:id="rId11" name="Check Box 10">
              <controlPr defaultSize="0" autoFill="0" autoLine="0" autoPict="0">
                <anchor moveWithCells="1">
                  <from>
                    <xdr:col>7</xdr:col>
                    <xdr:colOff>628650</xdr:colOff>
                    <xdr:row>15</xdr:row>
                    <xdr:rowOff>28575</xdr:rowOff>
                  </from>
                  <to>
                    <xdr:col>7</xdr:col>
                    <xdr:colOff>990600</xdr:colOff>
                    <xdr:row>16</xdr:row>
                    <xdr:rowOff>38100</xdr:rowOff>
                  </to>
                </anchor>
              </controlPr>
            </control>
          </mc:Choice>
        </mc:AlternateContent>
        <mc:AlternateContent xmlns:mc="http://schemas.openxmlformats.org/markup-compatibility/2006">
          <mc:Choice Requires="x14">
            <control shapeId="5131" r:id="rId12" name="Check Box 11">
              <controlPr defaultSize="0" autoFill="0" autoLine="0" autoPict="0">
                <anchor moveWithCells="1">
                  <from>
                    <xdr:col>7</xdr:col>
                    <xdr:colOff>628650</xdr:colOff>
                    <xdr:row>16</xdr:row>
                    <xdr:rowOff>28575</xdr:rowOff>
                  </from>
                  <to>
                    <xdr:col>7</xdr:col>
                    <xdr:colOff>990600</xdr:colOff>
                    <xdr:row>17</xdr:row>
                    <xdr:rowOff>38100</xdr:rowOff>
                  </to>
                </anchor>
              </controlPr>
            </control>
          </mc:Choice>
        </mc:AlternateContent>
        <mc:AlternateContent xmlns:mc="http://schemas.openxmlformats.org/markup-compatibility/2006">
          <mc:Choice Requires="x14">
            <control shapeId="5132" r:id="rId13" name="Check Box 12">
              <controlPr defaultSize="0" autoFill="0" autoLine="0" autoPict="0">
                <anchor moveWithCells="1">
                  <from>
                    <xdr:col>7</xdr:col>
                    <xdr:colOff>628650</xdr:colOff>
                    <xdr:row>17</xdr:row>
                    <xdr:rowOff>28575</xdr:rowOff>
                  </from>
                  <to>
                    <xdr:col>7</xdr:col>
                    <xdr:colOff>990600</xdr:colOff>
                    <xdr:row>18</xdr:row>
                    <xdr:rowOff>38100</xdr:rowOff>
                  </to>
                </anchor>
              </controlPr>
            </control>
          </mc:Choice>
        </mc:AlternateContent>
        <mc:AlternateContent xmlns:mc="http://schemas.openxmlformats.org/markup-compatibility/2006">
          <mc:Choice Requires="x14">
            <control shapeId="5133" r:id="rId14" name="Check Box 13">
              <controlPr defaultSize="0" autoFill="0" autoLine="0" autoPict="0">
                <anchor moveWithCells="1">
                  <from>
                    <xdr:col>7</xdr:col>
                    <xdr:colOff>628650</xdr:colOff>
                    <xdr:row>18</xdr:row>
                    <xdr:rowOff>28575</xdr:rowOff>
                  </from>
                  <to>
                    <xdr:col>7</xdr:col>
                    <xdr:colOff>990600</xdr:colOff>
                    <xdr:row>19</xdr:row>
                    <xdr:rowOff>38100</xdr:rowOff>
                  </to>
                </anchor>
              </controlPr>
            </control>
          </mc:Choice>
        </mc:AlternateContent>
      </controls>
    </mc:Choice>
  </mc:AlternateContent>
  <tableParts count="2">
    <tablePart r:id="rId15"/>
    <tablePart r:id="rId16"/>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17BC5-96A8-4CA4-90C2-288643907DB2}">
  <sheetPr codeName="Sheet2">
    <tabColor theme="9"/>
    <pageSetUpPr fitToPage="1"/>
  </sheetPr>
  <dimension ref="A1:Q30"/>
  <sheetViews>
    <sheetView view="pageBreakPreview" zoomScaleNormal="100" zoomScaleSheetLayoutView="100" workbookViewId="0">
      <selection sqref="A1:B2"/>
    </sheetView>
  </sheetViews>
  <sheetFormatPr defaultColWidth="9" defaultRowHeight="18.75" x14ac:dyDescent="0.4"/>
  <cols>
    <col min="1" max="1" width="15.25" style="158" customWidth="1"/>
    <col min="2" max="2" width="23.75" style="158" customWidth="1"/>
    <col min="3" max="3" width="12" style="158" customWidth="1"/>
    <col min="4" max="4" width="15.25" style="158" customWidth="1"/>
    <col min="5" max="5" width="7.125" style="158" customWidth="1"/>
    <col min="6" max="6" width="14" style="158" customWidth="1"/>
    <col min="7" max="7" width="2.5" style="158" customWidth="1"/>
    <col min="8" max="8" width="12" style="158" customWidth="1"/>
    <col min="9" max="9" width="9" style="158"/>
    <col min="10" max="10" width="18.125" style="158" customWidth="1"/>
    <col min="11" max="11" width="9" style="158" customWidth="1"/>
    <col min="12" max="14" width="7.125" style="158" customWidth="1"/>
    <col min="15" max="15" width="11" style="158" customWidth="1"/>
    <col min="16" max="17" width="9.375" style="158" customWidth="1"/>
    <col min="18" max="16384" width="9" style="158"/>
  </cols>
  <sheetData>
    <row r="1" spans="1:17" ht="23.25" customHeight="1" x14ac:dyDescent="0.4">
      <c r="A1" s="283" t="str">
        <f>基本情報入力!$C$23&amp;""</f>
        <v/>
      </c>
      <c r="B1" s="284"/>
      <c r="C1" s="287" t="str">
        <f>基本情報入力!$B$9&amp;""</f>
        <v/>
      </c>
      <c r="D1" s="288"/>
      <c r="E1" s="287" t="str">
        <f>基本情報入力!$B$11&amp;""</f>
        <v/>
      </c>
      <c r="F1" s="288"/>
      <c r="G1" s="291" t="str">
        <f>基本情報入力!$D$13&amp;""</f>
        <v/>
      </c>
      <c r="H1" s="292"/>
      <c r="I1" s="157"/>
      <c r="J1" s="157"/>
      <c r="K1" s="157"/>
      <c r="L1" s="157"/>
      <c r="M1" s="157"/>
      <c r="N1" s="157"/>
      <c r="O1" s="157"/>
      <c r="P1" s="157"/>
      <c r="Q1" s="157"/>
    </row>
    <row r="2" spans="1:17" ht="23.25" customHeight="1" thickBot="1" x14ac:dyDescent="0.45">
      <c r="A2" s="285"/>
      <c r="B2" s="286"/>
      <c r="C2" s="289"/>
      <c r="D2" s="290"/>
      <c r="E2" s="289"/>
      <c r="F2" s="290"/>
      <c r="G2" s="293"/>
      <c r="H2" s="294"/>
      <c r="I2" s="157"/>
      <c r="J2" s="157"/>
      <c r="K2" s="157"/>
      <c r="L2" s="157"/>
      <c r="M2" s="157"/>
      <c r="N2" s="157"/>
      <c r="O2" s="157"/>
      <c r="P2" s="157"/>
      <c r="Q2" s="157"/>
    </row>
    <row r="3" spans="1:17" ht="27.75" customHeight="1" x14ac:dyDescent="0.4">
      <c r="A3" s="236" t="s">
        <v>331</v>
      </c>
      <c r="B3" s="301" t="str">
        <f>基本情報入力!$D$23&amp;""</f>
        <v/>
      </c>
      <c r="C3" s="301"/>
      <c r="D3" s="301"/>
      <c r="E3" s="301"/>
      <c r="F3" s="301"/>
      <c r="G3" s="301"/>
      <c r="H3" s="302"/>
      <c r="I3" s="157"/>
      <c r="J3" s="157"/>
      <c r="K3" s="157"/>
      <c r="L3" s="157"/>
      <c r="M3" s="157"/>
      <c r="N3" s="157"/>
      <c r="O3" s="157"/>
      <c r="P3" s="157"/>
      <c r="Q3" s="157"/>
    </row>
    <row r="4" spans="1:17" ht="27.75" customHeight="1" x14ac:dyDescent="0.4">
      <c r="A4" s="236" t="s">
        <v>332</v>
      </c>
      <c r="B4" s="297" t="str">
        <f>基本情報入力!$C$23&amp;""</f>
        <v/>
      </c>
      <c r="C4" s="297"/>
      <c r="D4" s="297"/>
      <c r="E4" s="297"/>
      <c r="F4" s="297"/>
      <c r="G4" s="297"/>
      <c r="H4" s="298"/>
      <c r="I4" s="157"/>
      <c r="J4" s="157"/>
      <c r="K4" s="157"/>
      <c r="L4" s="157"/>
      <c r="M4" s="157"/>
      <c r="N4" s="157"/>
      <c r="O4" s="157"/>
      <c r="P4" s="157"/>
      <c r="Q4" s="157"/>
    </row>
    <row r="5" spans="1:17" ht="27.75" customHeight="1" x14ac:dyDescent="0.4">
      <c r="A5" s="236" t="s">
        <v>333</v>
      </c>
      <c r="B5" s="297" t="str">
        <f>基本情報入力!$H$23&amp;"　"&amp;基本情報入力!$I$23</f>
        <v>　</v>
      </c>
      <c r="C5" s="297"/>
      <c r="D5" s="297"/>
      <c r="E5" s="297"/>
      <c r="F5" s="297"/>
      <c r="G5" s="297"/>
      <c r="H5" s="298"/>
      <c r="I5" s="157"/>
      <c r="J5" s="157"/>
      <c r="K5" s="157"/>
      <c r="L5" s="157"/>
      <c r="M5" s="157"/>
      <c r="N5" s="157"/>
      <c r="O5" s="157"/>
      <c r="P5" s="157"/>
      <c r="Q5" s="157"/>
    </row>
    <row r="6" spans="1:17" ht="27.75" customHeight="1" x14ac:dyDescent="0.4">
      <c r="A6" s="236" t="s">
        <v>334</v>
      </c>
      <c r="B6" s="303" t="str">
        <f>IF(基本情報入力!$E$23="","",基本情報入力!$E$23)</f>
        <v/>
      </c>
      <c r="C6" s="303"/>
      <c r="D6" s="303"/>
      <c r="E6" s="303"/>
      <c r="F6" s="303"/>
      <c r="G6" s="303"/>
      <c r="H6" s="304"/>
      <c r="I6" s="157"/>
      <c r="J6" s="157"/>
      <c r="K6" s="157"/>
      <c r="L6" s="157"/>
      <c r="M6" s="157"/>
      <c r="N6" s="157"/>
      <c r="O6" s="157"/>
      <c r="P6" s="157"/>
      <c r="Q6" s="157"/>
    </row>
    <row r="7" spans="1:17" ht="27.75" customHeight="1" x14ac:dyDescent="0.4">
      <c r="A7" s="236" t="s">
        <v>335</v>
      </c>
      <c r="B7" s="303" t="str">
        <f>IF(基本情報入力!$F$23="","",基本情報入力!$F$23)</f>
        <v/>
      </c>
      <c r="C7" s="303"/>
      <c r="D7" s="303"/>
      <c r="E7" s="303"/>
      <c r="F7" s="303"/>
      <c r="G7" s="303"/>
      <c r="H7" s="304"/>
      <c r="I7" s="157"/>
      <c r="J7" s="157"/>
      <c r="K7" s="157"/>
      <c r="L7" s="157"/>
      <c r="M7" s="157"/>
      <c r="N7" s="157"/>
      <c r="O7" s="157"/>
      <c r="P7" s="157"/>
      <c r="Q7" s="157"/>
    </row>
    <row r="8" spans="1:17" ht="27.75" customHeight="1" x14ac:dyDescent="0.4">
      <c r="A8" s="236" t="s">
        <v>336</v>
      </c>
      <c r="B8" s="297" t="str">
        <f>基本情報入力!$K$23&amp;""</f>
        <v/>
      </c>
      <c r="C8" s="297"/>
      <c r="D8" s="297"/>
      <c r="E8" s="297"/>
      <c r="F8" s="297"/>
      <c r="G8" s="297"/>
      <c r="H8" s="298"/>
      <c r="I8" s="157"/>
      <c r="J8" s="157"/>
      <c r="K8" s="157"/>
      <c r="L8" s="157"/>
      <c r="M8" s="157"/>
      <c r="N8" s="157"/>
      <c r="O8" s="157"/>
      <c r="P8" s="157"/>
      <c r="Q8" s="157"/>
    </row>
    <row r="9" spans="1:17" ht="27.75" customHeight="1" thickBot="1" x14ac:dyDescent="0.45">
      <c r="A9" s="243" t="s">
        <v>337</v>
      </c>
      <c r="B9" s="299" t="str">
        <f>基本情報入力!$L$23&amp;""</f>
        <v/>
      </c>
      <c r="C9" s="299"/>
      <c r="D9" s="299"/>
      <c r="E9" s="299"/>
      <c r="F9" s="299"/>
      <c r="G9" s="299"/>
      <c r="H9" s="300"/>
      <c r="I9" s="157"/>
      <c r="J9" s="157"/>
      <c r="K9" s="157"/>
      <c r="L9" s="157"/>
      <c r="M9" s="157"/>
      <c r="N9" s="157"/>
      <c r="O9" s="157"/>
      <c r="P9" s="157"/>
      <c r="Q9" s="157"/>
    </row>
    <row r="10" spans="1:17" ht="27.75" customHeight="1" x14ac:dyDescent="0.4">
      <c r="A10" s="237" t="s">
        <v>338</v>
      </c>
      <c r="B10" s="295" t="str">
        <f>基本情報入力!$D$24&amp;""</f>
        <v/>
      </c>
      <c r="C10" s="295"/>
      <c r="D10" s="295"/>
      <c r="E10" s="295"/>
      <c r="F10" s="295"/>
      <c r="G10" s="295"/>
      <c r="H10" s="296"/>
      <c r="I10" s="157"/>
      <c r="J10" s="157"/>
      <c r="K10" s="157"/>
      <c r="L10" s="157"/>
      <c r="M10" s="157"/>
      <c r="N10" s="157"/>
      <c r="O10" s="157"/>
      <c r="P10" s="157"/>
      <c r="Q10" s="157"/>
    </row>
    <row r="11" spans="1:17" ht="27.75" customHeight="1" thickBot="1" x14ac:dyDescent="0.45">
      <c r="A11" s="238" t="str">
        <f>基本情報入力!$B$24&amp;""</f>
        <v/>
      </c>
      <c r="B11" s="305" t="str">
        <f>基本情報入力!$C$24&amp;""</f>
        <v/>
      </c>
      <c r="C11" s="305"/>
      <c r="D11" s="305"/>
      <c r="E11" s="305"/>
      <c r="F11" s="305"/>
      <c r="G11" s="305"/>
      <c r="H11" s="306"/>
      <c r="I11" s="157"/>
      <c r="J11" s="157"/>
      <c r="K11" s="157"/>
      <c r="L11" s="157"/>
      <c r="M11" s="157"/>
      <c r="N11" s="157"/>
      <c r="O11" s="157"/>
      <c r="P11" s="157"/>
      <c r="Q11" s="157"/>
    </row>
    <row r="12" spans="1:17" ht="18.75" customHeight="1" x14ac:dyDescent="0.4">
      <c r="A12" s="313" t="s">
        <v>339</v>
      </c>
      <c r="B12" s="314"/>
      <c r="C12" s="314"/>
      <c r="D12" s="314"/>
      <c r="E12" s="314"/>
      <c r="F12" s="314"/>
      <c r="G12" s="314"/>
      <c r="H12" s="315"/>
      <c r="I12" s="157"/>
      <c r="J12" s="157"/>
      <c r="K12" s="157"/>
      <c r="L12" s="157"/>
      <c r="M12" s="157"/>
      <c r="N12" s="157"/>
      <c r="O12" s="157"/>
      <c r="P12" s="157"/>
      <c r="Q12" s="157"/>
    </row>
    <row r="13" spans="1:17" ht="18.75" customHeight="1" x14ac:dyDescent="0.4">
      <c r="A13" s="316"/>
      <c r="B13" s="317"/>
      <c r="C13" s="317"/>
      <c r="D13" s="317"/>
      <c r="E13" s="317"/>
      <c r="F13" s="317"/>
      <c r="G13" s="317"/>
      <c r="H13" s="318"/>
      <c r="I13" s="157"/>
      <c r="J13" s="157"/>
      <c r="K13" s="157"/>
      <c r="L13" s="157"/>
      <c r="M13" s="157"/>
      <c r="N13" s="157"/>
      <c r="O13" s="157"/>
      <c r="P13" s="157"/>
      <c r="Q13" s="157"/>
    </row>
    <row r="14" spans="1:17" ht="64.5" customHeight="1" x14ac:dyDescent="0.4">
      <c r="A14" s="159" t="s">
        <v>465</v>
      </c>
      <c r="B14" s="319" t="s">
        <v>340</v>
      </c>
      <c r="C14" s="319"/>
      <c r="D14" s="319"/>
      <c r="E14" s="319"/>
      <c r="F14" s="319"/>
      <c r="G14" s="319"/>
      <c r="H14" s="320"/>
      <c r="I14" s="157"/>
      <c r="J14" s="157"/>
      <c r="K14" s="157"/>
      <c r="L14" s="157"/>
      <c r="M14" s="157"/>
      <c r="N14" s="157"/>
      <c r="O14" s="157"/>
      <c r="P14" s="157"/>
      <c r="Q14" s="157"/>
    </row>
    <row r="15" spans="1:17" ht="39" customHeight="1" x14ac:dyDescent="0.4">
      <c r="A15" s="159" t="s">
        <v>464</v>
      </c>
      <c r="B15" s="319" t="s">
        <v>477</v>
      </c>
      <c r="C15" s="319"/>
      <c r="D15" s="319"/>
      <c r="E15" s="319"/>
      <c r="F15" s="319"/>
      <c r="G15" s="319"/>
      <c r="H15" s="320"/>
      <c r="I15" s="157"/>
      <c r="J15" s="157"/>
      <c r="K15" s="157"/>
      <c r="L15" s="157"/>
      <c r="M15" s="157"/>
      <c r="N15" s="157"/>
      <c r="O15" s="157"/>
      <c r="P15" s="157"/>
      <c r="Q15" s="157"/>
    </row>
    <row r="16" spans="1:17" ht="39" customHeight="1" x14ac:dyDescent="0.4">
      <c r="A16" s="160" t="s">
        <v>464</v>
      </c>
      <c r="B16" s="275" t="s">
        <v>458</v>
      </c>
      <c r="C16" s="276"/>
      <c r="D16" s="276"/>
      <c r="E16" s="276"/>
      <c r="F16" s="276"/>
      <c r="G16" s="276"/>
      <c r="H16" s="277"/>
      <c r="I16" s="157"/>
      <c r="J16" s="157"/>
      <c r="K16" s="157"/>
      <c r="L16" s="157"/>
      <c r="M16" s="157"/>
      <c r="N16" s="157"/>
      <c r="O16" s="157"/>
      <c r="P16" s="157"/>
      <c r="Q16" s="157"/>
    </row>
    <row r="17" spans="1:17" ht="39" customHeight="1" x14ac:dyDescent="0.4">
      <c r="A17" s="160" t="s">
        <v>464</v>
      </c>
      <c r="B17" s="275" t="s">
        <v>493</v>
      </c>
      <c r="C17" s="276"/>
      <c r="D17" s="276"/>
      <c r="E17" s="276"/>
      <c r="F17" s="276"/>
      <c r="G17" s="276"/>
      <c r="H17" s="277"/>
      <c r="I17" s="157"/>
      <c r="J17" s="157"/>
      <c r="K17" s="157"/>
      <c r="L17" s="157"/>
      <c r="M17" s="157"/>
      <c r="N17" s="157"/>
      <c r="O17" s="157"/>
      <c r="P17" s="157"/>
      <c r="Q17" s="157"/>
    </row>
    <row r="18" spans="1:17" ht="39" customHeight="1" x14ac:dyDescent="0.4">
      <c r="A18" s="160" t="s">
        <v>464</v>
      </c>
      <c r="B18" s="275"/>
      <c r="C18" s="276"/>
      <c r="D18" s="276"/>
      <c r="E18" s="276"/>
      <c r="F18" s="276"/>
      <c r="G18" s="276"/>
      <c r="H18" s="277"/>
      <c r="I18" s="157"/>
      <c r="J18" s="157"/>
      <c r="K18" s="157"/>
      <c r="L18" s="157"/>
      <c r="M18" s="157"/>
      <c r="N18" s="157"/>
      <c r="O18" s="157"/>
      <c r="P18" s="157"/>
      <c r="Q18" s="157"/>
    </row>
    <row r="19" spans="1:17" ht="33" customHeight="1" x14ac:dyDescent="0.4">
      <c r="A19" s="324" t="s">
        <v>341</v>
      </c>
      <c r="B19" s="325"/>
      <c r="C19" s="325"/>
      <c r="D19" s="325"/>
      <c r="E19" s="325"/>
      <c r="F19" s="325"/>
      <c r="G19" s="325"/>
      <c r="H19" s="326"/>
      <c r="I19" s="157"/>
      <c r="J19" s="157"/>
      <c r="K19" s="157"/>
      <c r="L19" s="157"/>
      <c r="M19" s="157"/>
      <c r="N19" s="157"/>
      <c r="O19" s="157"/>
      <c r="P19" s="157"/>
      <c r="Q19" s="157"/>
    </row>
    <row r="20" spans="1:17" ht="36.75" customHeight="1" thickBot="1" x14ac:dyDescent="0.45">
      <c r="A20" s="161"/>
      <c r="B20" s="327" t="s">
        <v>342</v>
      </c>
      <c r="C20" s="328"/>
      <c r="D20" s="328"/>
      <c r="E20" s="328"/>
      <c r="F20" s="328"/>
      <c r="G20" s="328"/>
      <c r="H20" s="329"/>
      <c r="I20" s="157"/>
      <c r="J20" s="157"/>
      <c r="K20" s="157"/>
      <c r="L20" s="157"/>
      <c r="M20" s="157"/>
      <c r="N20" s="157"/>
      <c r="O20" s="157"/>
      <c r="P20" s="157"/>
      <c r="Q20" s="157"/>
    </row>
    <row r="21" spans="1:17" ht="43.5" customHeight="1" x14ac:dyDescent="0.4">
      <c r="A21" s="321" t="s">
        <v>459</v>
      </c>
      <c r="B21" s="322"/>
      <c r="C21" s="322"/>
      <c r="D21" s="322"/>
      <c r="E21" s="322"/>
      <c r="F21" s="322"/>
      <c r="G21" s="322"/>
      <c r="H21" s="323"/>
      <c r="I21" s="157"/>
      <c r="J21" s="157"/>
      <c r="K21" s="157"/>
      <c r="L21" s="157"/>
      <c r="M21" s="157"/>
      <c r="N21" s="157"/>
      <c r="O21" s="157"/>
      <c r="P21" s="157"/>
      <c r="Q21" s="157"/>
    </row>
    <row r="22" spans="1:17" ht="41.25" customHeight="1" x14ac:dyDescent="0.4">
      <c r="A22" s="160" t="s">
        <v>481</v>
      </c>
      <c r="B22" s="275" t="s">
        <v>460</v>
      </c>
      <c r="C22" s="276"/>
      <c r="D22" s="276"/>
      <c r="E22" s="276"/>
      <c r="F22" s="276"/>
      <c r="G22" s="276"/>
      <c r="H22" s="277"/>
    </row>
    <row r="23" spans="1:17" ht="45" customHeight="1" x14ac:dyDescent="0.4">
      <c r="A23" s="161" t="s">
        <v>480</v>
      </c>
      <c r="B23" s="275" t="s">
        <v>461</v>
      </c>
      <c r="C23" s="276"/>
      <c r="D23" s="276"/>
      <c r="E23" s="276"/>
      <c r="F23" s="276"/>
      <c r="G23" s="276"/>
      <c r="H23" s="277"/>
    </row>
    <row r="24" spans="1:17" ht="63" customHeight="1" x14ac:dyDescent="0.4">
      <c r="A24" s="161" t="s">
        <v>479</v>
      </c>
      <c r="B24" s="278" t="s">
        <v>462</v>
      </c>
      <c r="C24" s="278"/>
      <c r="D24" s="278"/>
      <c r="E24" s="278"/>
      <c r="F24" s="278"/>
      <c r="G24" s="278"/>
      <c r="H24" s="279"/>
    </row>
    <row r="25" spans="1:17" ht="42" customHeight="1" thickBot="1" x14ac:dyDescent="0.45">
      <c r="A25" s="235" t="s">
        <v>480</v>
      </c>
      <c r="B25" s="280" t="s">
        <v>463</v>
      </c>
      <c r="C25" s="281"/>
      <c r="D25" s="281"/>
      <c r="E25" s="281"/>
      <c r="F25" s="281"/>
      <c r="G25" s="281"/>
      <c r="H25" s="282"/>
    </row>
    <row r="26" spans="1:17" ht="42" customHeight="1" x14ac:dyDescent="0.4">
      <c r="A26" s="310" t="s">
        <v>478</v>
      </c>
      <c r="B26" s="311"/>
      <c r="C26" s="311"/>
      <c r="D26" s="311"/>
      <c r="E26" s="311"/>
      <c r="F26" s="311"/>
      <c r="G26" s="311"/>
      <c r="H26" s="312"/>
    </row>
    <row r="27" spans="1:17" ht="42" customHeight="1" x14ac:dyDescent="0.4">
      <c r="A27" s="241" t="s">
        <v>479</v>
      </c>
      <c r="B27" s="240" t="s">
        <v>247</v>
      </c>
      <c r="C27" s="240" t="s">
        <v>476</v>
      </c>
      <c r="D27" s="244" t="s">
        <v>479</v>
      </c>
      <c r="E27" s="307" t="s">
        <v>482</v>
      </c>
      <c r="F27" s="308"/>
      <c r="G27" s="309"/>
      <c r="H27" s="240" t="s">
        <v>482</v>
      </c>
    </row>
    <row r="28" spans="1:17" ht="42" customHeight="1" x14ac:dyDescent="0.4">
      <c r="A28" s="241" t="s">
        <v>479</v>
      </c>
      <c r="B28" s="240" t="s">
        <v>482</v>
      </c>
      <c r="C28" s="240" t="s">
        <v>482</v>
      </c>
      <c r="D28" s="244" t="s">
        <v>479</v>
      </c>
      <c r="E28" s="307" t="s">
        <v>482</v>
      </c>
      <c r="F28" s="308"/>
      <c r="G28" s="309"/>
      <c r="H28" s="240" t="s">
        <v>482</v>
      </c>
    </row>
    <row r="29" spans="1:17" ht="42" customHeight="1" x14ac:dyDescent="0.4">
      <c r="A29" s="241" t="s">
        <v>479</v>
      </c>
      <c r="B29" s="240" t="s">
        <v>482</v>
      </c>
      <c r="C29" s="240" t="s">
        <v>482</v>
      </c>
      <c r="D29" s="244" t="s">
        <v>479</v>
      </c>
      <c r="E29" s="307" t="s">
        <v>482</v>
      </c>
      <c r="F29" s="308"/>
      <c r="G29" s="309"/>
      <c r="H29" s="240" t="s">
        <v>482</v>
      </c>
    </row>
    <row r="30" spans="1:17" ht="42" customHeight="1" thickBot="1" x14ac:dyDescent="0.45">
      <c r="A30" s="242" t="s">
        <v>479</v>
      </c>
      <c r="B30" s="240" t="s">
        <v>482</v>
      </c>
      <c r="C30" s="240" t="s">
        <v>482</v>
      </c>
      <c r="D30" s="244" t="s">
        <v>479</v>
      </c>
      <c r="E30" s="307" t="s">
        <v>482</v>
      </c>
      <c r="F30" s="308"/>
      <c r="G30" s="309"/>
      <c r="H30" s="240" t="s">
        <v>482</v>
      </c>
    </row>
  </sheetData>
  <mergeCells count="31">
    <mergeCell ref="A21:H21"/>
    <mergeCell ref="B22:H22"/>
    <mergeCell ref="B18:H18"/>
    <mergeCell ref="A19:H19"/>
    <mergeCell ref="B20:H20"/>
    <mergeCell ref="A12:H13"/>
    <mergeCell ref="B14:H14"/>
    <mergeCell ref="B15:H15"/>
    <mergeCell ref="B16:H16"/>
    <mergeCell ref="B17:H17"/>
    <mergeCell ref="E27:G27"/>
    <mergeCell ref="E28:G28"/>
    <mergeCell ref="E29:G29"/>
    <mergeCell ref="E30:G30"/>
    <mergeCell ref="A26:H26"/>
    <mergeCell ref="B23:H23"/>
    <mergeCell ref="B24:H24"/>
    <mergeCell ref="B25:H25"/>
    <mergeCell ref="A1:B2"/>
    <mergeCell ref="C1:D2"/>
    <mergeCell ref="E1:F2"/>
    <mergeCell ref="G1:H2"/>
    <mergeCell ref="B10:H10"/>
    <mergeCell ref="B8:H8"/>
    <mergeCell ref="B9:H9"/>
    <mergeCell ref="B3:H3"/>
    <mergeCell ref="B4:H4"/>
    <mergeCell ref="B5:H5"/>
    <mergeCell ref="B6:H6"/>
    <mergeCell ref="B7:H7"/>
    <mergeCell ref="B11:H11"/>
  </mergeCells>
  <phoneticPr fontId="2"/>
  <conditionalFormatting sqref="A1:H2">
    <cfRule type="containsBlanks" dxfId="2" priority="2">
      <formula>LEN(TRIM(A1))=0</formula>
    </cfRule>
  </conditionalFormatting>
  <conditionalFormatting sqref="B3:H11">
    <cfRule type="containsBlanks" dxfId="1" priority="1">
      <formula>LEN(TRIM(B3))=0</formula>
    </cfRule>
  </conditionalFormatting>
  <dataValidations count="4">
    <dataValidation type="list" errorStyle="information" allowBlank="1" showInputMessage="1" sqref="B27:B30" xr:uid="{CD326A50-0F52-4774-B561-CFBB6D554721}">
      <formula1>" ,　,委任状,戸籍,印鑑証明書,公正証書遺言,　,"</formula1>
    </dataValidation>
    <dataValidation type="list" errorStyle="information" allowBlank="1" showInputMessage="1" sqref="C27:C30 H27:H30" xr:uid="{1A1C062E-A683-44D9-BEC3-1C96FD8159C4}">
      <formula1>",　,1通,2通,3通,4通,5通,6通,7通,8通,9通,10通,"</formula1>
    </dataValidation>
    <dataValidation type="list" errorStyle="information" allowBlank="1" showInputMessage="1" sqref="E27:G30" xr:uid="{35A020B5-740C-4B2B-B38E-260DE88E3E91}">
      <formula1>",　,委任状,戸籍,印鑑証明書,公正証書遺言"</formula1>
    </dataValidation>
    <dataValidation type="list" errorStyle="information" allowBlank="1" showInputMessage="1" sqref="C27:C30 H27:H30" xr:uid="{6B0B4F9D-630E-430F-A479-51BDDABEF545}">
      <formula1>",　,1通,2通,3通,4通,5通,6通,7通,8通,9通,10通"</formula1>
    </dataValidation>
  </dataValidations>
  <printOptions horizontalCentered="1"/>
  <pageMargins left="0" right="0" top="0.39370078740157483" bottom="0" header="0.11811023622047245" footer="0"/>
  <pageSetup paperSize="9" scale="75" orientation="portrait" blackAndWhite="1"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1">
              <controlPr defaultSize="0" autoFill="0" autoLine="0" autoPict="0">
                <anchor moveWithCells="1">
                  <from>
                    <xdr:col>0</xdr:col>
                    <xdr:colOff>38100</xdr:colOff>
                    <xdr:row>22</xdr:row>
                    <xdr:rowOff>152400</xdr:rowOff>
                  </from>
                  <to>
                    <xdr:col>0</xdr:col>
                    <xdr:colOff>295275</xdr:colOff>
                    <xdr:row>22</xdr:row>
                    <xdr:rowOff>400050</xdr:rowOff>
                  </to>
                </anchor>
              </controlPr>
            </control>
          </mc:Choice>
        </mc:AlternateContent>
        <mc:AlternateContent xmlns:mc="http://schemas.openxmlformats.org/markup-compatibility/2006">
          <mc:Choice Requires="x14">
            <control shapeId="12290" r:id="rId5" name="Check Box 2">
              <controlPr defaultSize="0" autoFill="0" autoLine="0" autoPict="0">
                <anchor moveWithCells="1">
                  <from>
                    <xdr:col>0</xdr:col>
                    <xdr:colOff>38100</xdr:colOff>
                    <xdr:row>23</xdr:row>
                    <xdr:rowOff>266700</xdr:rowOff>
                  </from>
                  <to>
                    <xdr:col>0</xdr:col>
                    <xdr:colOff>295275</xdr:colOff>
                    <xdr:row>23</xdr:row>
                    <xdr:rowOff>514350</xdr:rowOff>
                  </to>
                </anchor>
              </controlPr>
            </control>
          </mc:Choice>
        </mc:AlternateContent>
        <mc:AlternateContent xmlns:mc="http://schemas.openxmlformats.org/markup-compatibility/2006">
          <mc:Choice Requires="x14">
            <control shapeId="12291" r:id="rId6" name="Check Box 3">
              <controlPr defaultSize="0" autoFill="0" autoLine="0" autoPict="0">
                <anchor moveWithCells="1">
                  <from>
                    <xdr:col>0</xdr:col>
                    <xdr:colOff>38100</xdr:colOff>
                    <xdr:row>24</xdr:row>
                    <xdr:rowOff>142875</xdr:rowOff>
                  </from>
                  <to>
                    <xdr:col>0</xdr:col>
                    <xdr:colOff>295275</xdr:colOff>
                    <xdr:row>24</xdr:row>
                    <xdr:rowOff>390525</xdr:rowOff>
                  </to>
                </anchor>
              </controlPr>
            </control>
          </mc:Choice>
        </mc:AlternateContent>
        <mc:AlternateContent xmlns:mc="http://schemas.openxmlformats.org/markup-compatibility/2006">
          <mc:Choice Requires="x14">
            <control shapeId="12292" r:id="rId7" name="Check Box 4">
              <controlPr defaultSize="0" autoFill="0" autoLine="0" autoPict="0">
                <anchor moveWithCells="1">
                  <from>
                    <xdr:col>0</xdr:col>
                    <xdr:colOff>38100</xdr:colOff>
                    <xdr:row>21</xdr:row>
                    <xdr:rowOff>0</xdr:rowOff>
                  </from>
                  <to>
                    <xdr:col>0</xdr:col>
                    <xdr:colOff>295275</xdr:colOff>
                    <xdr:row>21</xdr:row>
                    <xdr:rowOff>257175</xdr:rowOff>
                  </to>
                </anchor>
              </controlPr>
            </control>
          </mc:Choice>
        </mc:AlternateContent>
        <mc:AlternateContent xmlns:mc="http://schemas.openxmlformats.org/markup-compatibility/2006">
          <mc:Choice Requires="x14">
            <control shapeId="12293" r:id="rId8" name="Check Box 5">
              <controlPr defaultSize="0" autoFill="0" autoLine="0" autoPict="0">
                <anchor moveWithCells="1">
                  <from>
                    <xdr:col>0</xdr:col>
                    <xdr:colOff>38100</xdr:colOff>
                    <xdr:row>21</xdr:row>
                    <xdr:rowOff>266700</xdr:rowOff>
                  </from>
                  <to>
                    <xdr:col>0</xdr:col>
                    <xdr:colOff>295275</xdr:colOff>
                    <xdr:row>21</xdr:row>
                    <xdr:rowOff>514350</xdr:rowOff>
                  </to>
                </anchor>
              </controlPr>
            </control>
          </mc:Choice>
        </mc:AlternateContent>
        <mc:AlternateContent xmlns:mc="http://schemas.openxmlformats.org/markup-compatibility/2006">
          <mc:Choice Requires="x14">
            <control shapeId="12300" r:id="rId9" name="Check Box 12">
              <controlPr defaultSize="0" autoFill="0" autoLine="0" autoPict="0">
                <anchor moveWithCells="1">
                  <from>
                    <xdr:col>0</xdr:col>
                    <xdr:colOff>38100</xdr:colOff>
                    <xdr:row>26</xdr:row>
                    <xdr:rowOff>133350</xdr:rowOff>
                  </from>
                  <to>
                    <xdr:col>0</xdr:col>
                    <xdr:colOff>295275</xdr:colOff>
                    <xdr:row>26</xdr:row>
                    <xdr:rowOff>381000</xdr:rowOff>
                  </to>
                </anchor>
              </controlPr>
            </control>
          </mc:Choice>
        </mc:AlternateContent>
        <mc:AlternateContent xmlns:mc="http://schemas.openxmlformats.org/markup-compatibility/2006">
          <mc:Choice Requires="x14">
            <control shapeId="12302" r:id="rId10" name="Check Box 14">
              <controlPr defaultSize="0" autoFill="0" autoLine="0" autoPict="0">
                <anchor moveWithCells="1">
                  <from>
                    <xdr:col>0</xdr:col>
                    <xdr:colOff>38100</xdr:colOff>
                    <xdr:row>27</xdr:row>
                    <xdr:rowOff>133350</xdr:rowOff>
                  </from>
                  <to>
                    <xdr:col>0</xdr:col>
                    <xdr:colOff>295275</xdr:colOff>
                    <xdr:row>27</xdr:row>
                    <xdr:rowOff>381000</xdr:rowOff>
                  </to>
                </anchor>
              </controlPr>
            </control>
          </mc:Choice>
        </mc:AlternateContent>
        <mc:AlternateContent xmlns:mc="http://schemas.openxmlformats.org/markup-compatibility/2006">
          <mc:Choice Requires="x14">
            <control shapeId="12303" r:id="rId11" name="Check Box 15">
              <controlPr defaultSize="0" autoFill="0" autoLine="0" autoPict="0">
                <anchor moveWithCells="1">
                  <from>
                    <xdr:col>0</xdr:col>
                    <xdr:colOff>38100</xdr:colOff>
                    <xdr:row>28</xdr:row>
                    <xdr:rowOff>133350</xdr:rowOff>
                  </from>
                  <to>
                    <xdr:col>0</xdr:col>
                    <xdr:colOff>295275</xdr:colOff>
                    <xdr:row>28</xdr:row>
                    <xdr:rowOff>381000</xdr:rowOff>
                  </to>
                </anchor>
              </controlPr>
            </control>
          </mc:Choice>
        </mc:AlternateContent>
        <mc:AlternateContent xmlns:mc="http://schemas.openxmlformats.org/markup-compatibility/2006">
          <mc:Choice Requires="x14">
            <control shapeId="12304" r:id="rId12" name="Check Box 16">
              <controlPr defaultSize="0" autoFill="0" autoLine="0" autoPict="0">
                <anchor moveWithCells="1">
                  <from>
                    <xdr:col>0</xdr:col>
                    <xdr:colOff>38100</xdr:colOff>
                    <xdr:row>29</xdr:row>
                    <xdr:rowOff>133350</xdr:rowOff>
                  </from>
                  <to>
                    <xdr:col>0</xdr:col>
                    <xdr:colOff>295275</xdr:colOff>
                    <xdr:row>29</xdr:row>
                    <xdr:rowOff>381000</xdr:rowOff>
                  </to>
                </anchor>
              </controlPr>
            </control>
          </mc:Choice>
        </mc:AlternateContent>
        <mc:AlternateContent xmlns:mc="http://schemas.openxmlformats.org/markup-compatibility/2006">
          <mc:Choice Requires="x14">
            <control shapeId="12306" r:id="rId13" name="Check Box 18">
              <controlPr defaultSize="0" autoFill="0" autoLine="0" autoPict="0">
                <anchor moveWithCells="1">
                  <from>
                    <xdr:col>3</xdr:col>
                    <xdr:colOff>38100</xdr:colOff>
                    <xdr:row>26</xdr:row>
                    <xdr:rowOff>133350</xdr:rowOff>
                  </from>
                  <to>
                    <xdr:col>3</xdr:col>
                    <xdr:colOff>285750</xdr:colOff>
                    <xdr:row>26</xdr:row>
                    <xdr:rowOff>381000</xdr:rowOff>
                  </to>
                </anchor>
              </controlPr>
            </control>
          </mc:Choice>
        </mc:AlternateContent>
        <mc:AlternateContent xmlns:mc="http://schemas.openxmlformats.org/markup-compatibility/2006">
          <mc:Choice Requires="x14">
            <control shapeId="12307" r:id="rId14" name="Check Box 19">
              <controlPr defaultSize="0" autoFill="0" autoLine="0" autoPict="0">
                <anchor moveWithCells="1">
                  <from>
                    <xdr:col>3</xdr:col>
                    <xdr:colOff>38100</xdr:colOff>
                    <xdr:row>27</xdr:row>
                    <xdr:rowOff>133350</xdr:rowOff>
                  </from>
                  <to>
                    <xdr:col>3</xdr:col>
                    <xdr:colOff>285750</xdr:colOff>
                    <xdr:row>27</xdr:row>
                    <xdr:rowOff>381000</xdr:rowOff>
                  </to>
                </anchor>
              </controlPr>
            </control>
          </mc:Choice>
        </mc:AlternateContent>
        <mc:AlternateContent xmlns:mc="http://schemas.openxmlformats.org/markup-compatibility/2006">
          <mc:Choice Requires="x14">
            <control shapeId="12308" r:id="rId15" name="Check Box 20">
              <controlPr defaultSize="0" autoFill="0" autoLine="0" autoPict="0">
                <anchor moveWithCells="1">
                  <from>
                    <xdr:col>3</xdr:col>
                    <xdr:colOff>38100</xdr:colOff>
                    <xdr:row>28</xdr:row>
                    <xdr:rowOff>133350</xdr:rowOff>
                  </from>
                  <to>
                    <xdr:col>3</xdr:col>
                    <xdr:colOff>285750</xdr:colOff>
                    <xdr:row>28</xdr:row>
                    <xdr:rowOff>381000</xdr:rowOff>
                  </to>
                </anchor>
              </controlPr>
            </control>
          </mc:Choice>
        </mc:AlternateContent>
        <mc:AlternateContent xmlns:mc="http://schemas.openxmlformats.org/markup-compatibility/2006">
          <mc:Choice Requires="x14">
            <control shapeId="12309" r:id="rId16" name="Check Box 21">
              <controlPr defaultSize="0" autoFill="0" autoLine="0" autoPict="0">
                <anchor moveWithCells="1">
                  <from>
                    <xdr:col>3</xdr:col>
                    <xdr:colOff>38100</xdr:colOff>
                    <xdr:row>29</xdr:row>
                    <xdr:rowOff>133350</xdr:rowOff>
                  </from>
                  <to>
                    <xdr:col>3</xdr:col>
                    <xdr:colOff>285750</xdr:colOff>
                    <xdr:row>29</xdr:row>
                    <xdr:rowOff>381000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4164C-2B9D-41B5-AC51-56C3C4E78777}">
  <sheetPr codeName="Sheet5"/>
  <dimension ref="A1:R62"/>
  <sheetViews>
    <sheetView view="pageBreakPreview" zoomScale="60" zoomScaleNormal="100" workbookViewId="0">
      <selection activeCell="V11" sqref="V11"/>
    </sheetView>
  </sheetViews>
  <sheetFormatPr defaultRowHeight="18.75" x14ac:dyDescent="0.4"/>
  <cols>
    <col min="1" max="1" width="2.625" style="77" customWidth="1"/>
    <col min="2" max="2" width="9.25" style="77" customWidth="1"/>
    <col min="3" max="3" width="22.125" style="77" customWidth="1"/>
    <col min="4" max="4" width="6.375" style="77" customWidth="1"/>
    <col min="5" max="5" width="4" style="77" customWidth="1"/>
    <col min="6" max="6" width="2.625" style="77" customWidth="1"/>
    <col min="7" max="7" width="9.25" style="77" customWidth="1"/>
    <col min="8" max="8" width="22.125" style="77" customWidth="1"/>
    <col min="9" max="9" width="6.375" style="77" customWidth="1"/>
    <col min="10" max="10" width="2.625" style="77" customWidth="1"/>
    <col min="11" max="11" width="3.625" style="78" customWidth="1"/>
    <col min="12" max="12" width="2.625" style="77" customWidth="1"/>
    <col min="13" max="13" width="10.625" style="77" customWidth="1"/>
    <col min="14" max="14" width="30.75" style="77" customWidth="1"/>
    <col min="15" max="15" width="2.625" style="77" customWidth="1"/>
    <col min="16" max="16" width="28.875" style="77" customWidth="1"/>
    <col min="17" max="17" width="10.75" style="77" customWidth="1"/>
    <col min="18" max="18" width="9" style="77"/>
    <col min="257" max="257" width="2.625" customWidth="1"/>
    <col min="258" max="258" width="9.25" customWidth="1"/>
    <col min="259" max="259" width="22.125" customWidth="1"/>
    <col min="260" max="260" width="6.375" customWidth="1"/>
    <col min="261" max="261" width="4" customWidth="1"/>
    <col min="262" max="262" width="2.625" customWidth="1"/>
    <col min="263" max="263" width="9.25" customWidth="1"/>
    <col min="264" max="264" width="22.125" customWidth="1"/>
    <col min="265" max="265" width="6.375" customWidth="1"/>
    <col min="266" max="266" width="2.625" customWidth="1"/>
    <col min="267" max="267" width="3.625" customWidth="1"/>
    <col min="268" max="268" width="2.625" customWidth="1"/>
    <col min="269" max="269" width="10.625" customWidth="1"/>
    <col min="270" max="270" width="30.75" customWidth="1"/>
    <col min="271" max="271" width="2.625" customWidth="1"/>
    <col min="272" max="272" width="28.875" customWidth="1"/>
    <col min="273" max="273" width="10.75" customWidth="1"/>
    <col min="513" max="513" width="2.625" customWidth="1"/>
    <col min="514" max="514" width="9.25" customWidth="1"/>
    <col min="515" max="515" width="22.125" customWidth="1"/>
    <col min="516" max="516" width="6.375" customWidth="1"/>
    <col min="517" max="517" width="4" customWidth="1"/>
    <col min="518" max="518" width="2.625" customWidth="1"/>
    <col min="519" max="519" width="9.25" customWidth="1"/>
    <col min="520" max="520" width="22.125" customWidth="1"/>
    <col min="521" max="521" width="6.375" customWidth="1"/>
    <col min="522" max="522" width="2.625" customWidth="1"/>
    <col min="523" max="523" width="3.625" customWidth="1"/>
    <col min="524" max="524" width="2.625" customWidth="1"/>
    <col min="525" max="525" width="10.625" customWidth="1"/>
    <col min="526" max="526" width="30.75" customWidth="1"/>
    <col min="527" max="527" width="2.625" customWidth="1"/>
    <col min="528" max="528" width="28.875" customWidth="1"/>
    <col min="529" max="529" width="10.75" customWidth="1"/>
    <col min="769" max="769" width="2.625" customWidth="1"/>
    <col min="770" max="770" width="9.25" customWidth="1"/>
    <col min="771" max="771" width="22.125" customWidth="1"/>
    <col min="772" max="772" width="6.375" customWidth="1"/>
    <col min="773" max="773" width="4" customWidth="1"/>
    <col min="774" max="774" width="2.625" customWidth="1"/>
    <col min="775" max="775" width="9.25" customWidth="1"/>
    <col min="776" max="776" width="22.125" customWidth="1"/>
    <col min="777" max="777" width="6.375" customWidth="1"/>
    <col min="778" max="778" width="2.625" customWidth="1"/>
    <col min="779" max="779" width="3.625" customWidth="1"/>
    <col min="780" max="780" width="2.625" customWidth="1"/>
    <col min="781" max="781" width="10.625" customWidth="1"/>
    <col min="782" max="782" width="30.75" customWidth="1"/>
    <col min="783" max="783" width="2.625" customWidth="1"/>
    <col min="784" max="784" width="28.875" customWidth="1"/>
    <col min="785" max="785" width="10.75" customWidth="1"/>
    <col min="1025" max="1025" width="2.625" customWidth="1"/>
    <col min="1026" max="1026" width="9.25" customWidth="1"/>
    <col min="1027" max="1027" width="22.125" customWidth="1"/>
    <col min="1028" max="1028" width="6.375" customWidth="1"/>
    <col min="1029" max="1029" width="4" customWidth="1"/>
    <col min="1030" max="1030" width="2.625" customWidth="1"/>
    <col min="1031" max="1031" width="9.25" customWidth="1"/>
    <col min="1032" max="1032" width="22.125" customWidth="1"/>
    <col min="1033" max="1033" width="6.375" customWidth="1"/>
    <col min="1034" max="1034" width="2.625" customWidth="1"/>
    <col min="1035" max="1035" width="3.625" customWidth="1"/>
    <col min="1036" max="1036" width="2.625" customWidth="1"/>
    <col min="1037" max="1037" width="10.625" customWidth="1"/>
    <col min="1038" max="1038" width="30.75" customWidth="1"/>
    <col min="1039" max="1039" width="2.625" customWidth="1"/>
    <col min="1040" max="1040" width="28.875" customWidth="1"/>
    <col min="1041" max="1041" width="10.75" customWidth="1"/>
    <col min="1281" max="1281" width="2.625" customWidth="1"/>
    <col min="1282" max="1282" width="9.25" customWidth="1"/>
    <col min="1283" max="1283" width="22.125" customWidth="1"/>
    <col min="1284" max="1284" width="6.375" customWidth="1"/>
    <col min="1285" max="1285" width="4" customWidth="1"/>
    <col min="1286" max="1286" width="2.625" customWidth="1"/>
    <col min="1287" max="1287" width="9.25" customWidth="1"/>
    <col min="1288" max="1288" width="22.125" customWidth="1"/>
    <col min="1289" max="1289" width="6.375" customWidth="1"/>
    <col min="1290" max="1290" width="2.625" customWidth="1"/>
    <col min="1291" max="1291" width="3.625" customWidth="1"/>
    <col min="1292" max="1292" width="2.625" customWidth="1"/>
    <col min="1293" max="1293" width="10.625" customWidth="1"/>
    <col min="1294" max="1294" width="30.75" customWidth="1"/>
    <col min="1295" max="1295" width="2.625" customWidth="1"/>
    <col min="1296" max="1296" width="28.875" customWidth="1"/>
    <col min="1297" max="1297" width="10.75" customWidth="1"/>
    <col min="1537" max="1537" width="2.625" customWidth="1"/>
    <col min="1538" max="1538" width="9.25" customWidth="1"/>
    <col min="1539" max="1539" width="22.125" customWidth="1"/>
    <col min="1540" max="1540" width="6.375" customWidth="1"/>
    <col min="1541" max="1541" width="4" customWidth="1"/>
    <col min="1542" max="1542" width="2.625" customWidth="1"/>
    <col min="1543" max="1543" width="9.25" customWidth="1"/>
    <col min="1544" max="1544" width="22.125" customWidth="1"/>
    <col min="1545" max="1545" width="6.375" customWidth="1"/>
    <col min="1546" max="1546" width="2.625" customWidth="1"/>
    <col min="1547" max="1547" width="3.625" customWidth="1"/>
    <col min="1548" max="1548" width="2.625" customWidth="1"/>
    <col min="1549" max="1549" width="10.625" customWidth="1"/>
    <col min="1550" max="1550" width="30.75" customWidth="1"/>
    <col min="1551" max="1551" width="2.625" customWidth="1"/>
    <col min="1552" max="1552" width="28.875" customWidth="1"/>
    <col min="1553" max="1553" width="10.75" customWidth="1"/>
    <col min="1793" max="1793" width="2.625" customWidth="1"/>
    <col min="1794" max="1794" width="9.25" customWidth="1"/>
    <col min="1795" max="1795" width="22.125" customWidth="1"/>
    <col min="1796" max="1796" width="6.375" customWidth="1"/>
    <col min="1797" max="1797" width="4" customWidth="1"/>
    <col min="1798" max="1798" width="2.625" customWidth="1"/>
    <col min="1799" max="1799" width="9.25" customWidth="1"/>
    <col min="1800" max="1800" width="22.125" customWidth="1"/>
    <col min="1801" max="1801" width="6.375" customWidth="1"/>
    <col min="1802" max="1802" width="2.625" customWidth="1"/>
    <col min="1803" max="1803" width="3.625" customWidth="1"/>
    <col min="1804" max="1804" width="2.625" customWidth="1"/>
    <col min="1805" max="1805" width="10.625" customWidth="1"/>
    <col min="1806" max="1806" width="30.75" customWidth="1"/>
    <col min="1807" max="1807" width="2.625" customWidth="1"/>
    <col min="1808" max="1808" width="28.875" customWidth="1"/>
    <col min="1809" max="1809" width="10.75" customWidth="1"/>
    <col min="2049" max="2049" width="2.625" customWidth="1"/>
    <col min="2050" max="2050" width="9.25" customWidth="1"/>
    <col min="2051" max="2051" width="22.125" customWidth="1"/>
    <col min="2052" max="2052" width="6.375" customWidth="1"/>
    <col min="2053" max="2053" width="4" customWidth="1"/>
    <col min="2054" max="2054" width="2.625" customWidth="1"/>
    <col min="2055" max="2055" width="9.25" customWidth="1"/>
    <col min="2056" max="2056" width="22.125" customWidth="1"/>
    <col min="2057" max="2057" width="6.375" customWidth="1"/>
    <col min="2058" max="2058" width="2.625" customWidth="1"/>
    <col min="2059" max="2059" width="3.625" customWidth="1"/>
    <col min="2060" max="2060" width="2.625" customWidth="1"/>
    <col min="2061" max="2061" width="10.625" customWidth="1"/>
    <col min="2062" max="2062" width="30.75" customWidth="1"/>
    <col min="2063" max="2063" width="2.625" customWidth="1"/>
    <col min="2064" max="2064" width="28.875" customWidth="1"/>
    <col min="2065" max="2065" width="10.75" customWidth="1"/>
    <col min="2305" max="2305" width="2.625" customWidth="1"/>
    <col min="2306" max="2306" width="9.25" customWidth="1"/>
    <col min="2307" max="2307" width="22.125" customWidth="1"/>
    <col min="2308" max="2308" width="6.375" customWidth="1"/>
    <col min="2309" max="2309" width="4" customWidth="1"/>
    <col min="2310" max="2310" width="2.625" customWidth="1"/>
    <col min="2311" max="2311" width="9.25" customWidth="1"/>
    <col min="2312" max="2312" width="22.125" customWidth="1"/>
    <col min="2313" max="2313" width="6.375" customWidth="1"/>
    <col min="2314" max="2314" width="2.625" customWidth="1"/>
    <col min="2315" max="2315" width="3.625" customWidth="1"/>
    <col min="2316" max="2316" width="2.625" customWidth="1"/>
    <col min="2317" max="2317" width="10.625" customWidth="1"/>
    <col min="2318" max="2318" width="30.75" customWidth="1"/>
    <col min="2319" max="2319" width="2.625" customWidth="1"/>
    <col min="2320" max="2320" width="28.875" customWidth="1"/>
    <col min="2321" max="2321" width="10.75" customWidth="1"/>
    <col min="2561" max="2561" width="2.625" customWidth="1"/>
    <col min="2562" max="2562" width="9.25" customWidth="1"/>
    <col min="2563" max="2563" width="22.125" customWidth="1"/>
    <col min="2564" max="2564" width="6.375" customWidth="1"/>
    <col min="2565" max="2565" width="4" customWidth="1"/>
    <col min="2566" max="2566" width="2.625" customWidth="1"/>
    <col min="2567" max="2567" width="9.25" customWidth="1"/>
    <col min="2568" max="2568" width="22.125" customWidth="1"/>
    <col min="2569" max="2569" width="6.375" customWidth="1"/>
    <col min="2570" max="2570" width="2.625" customWidth="1"/>
    <col min="2571" max="2571" width="3.625" customWidth="1"/>
    <col min="2572" max="2572" width="2.625" customWidth="1"/>
    <col min="2573" max="2573" width="10.625" customWidth="1"/>
    <col min="2574" max="2574" width="30.75" customWidth="1"/>
    <col min="2575" max="2575" width="2.625" customWidth="1"/>
    <col min="2576" max="2576" width="28.875" customWidth="1"/>
    <col min="2577" max="2577" width="10.75" customWidth="1"/>
    <col min="2817" max="2817" width="2.625" customWidth="1"/>
    <col min="2818" max="2818" width="9.25" customWidth="1"/>
    <col min="2819" max="2819" width="22.125" customWidth="1"/>
    <col min="2820" max="2820" width="6.375" customWidth="1"/>
    <col min="2821" max="2821" width="4" customWidth="1"/>
    <col min="2822" max="2822" width="2.625" customWidth="1"/>
    <col min="2823" max="2823" width="9.25" customWidth="1"/>
    <col min="2824" max="2824" width="22.125" customWidth="1"/>
    <col min="2825" max="2825" width="6.375" customWidth="1"/>
    <col min="2826" max="2826" width="2.625" customWidth="1"/>
    <col min="2827" max="2827" width="3.625" customWidth="1"/>
    <col min="2828" max="2828" width="2.625" customWidth="1"/>
    <col min="2829" max="2829" width="10.625" customWidth="1"/>
    <col min="2830" max="2830" width="30.75" customWidth="1"/>
    <col min="2831" max="2831" width="2.625" customWidth="1"/>
    <col min="2832" max="2832" width="28.875" customWidth="1"/>
    <col min="2833" max="2833" width="10.75" customWidth="1"/>
    <col min="3073" max="3073" width="2.625" customWidth="1"/>
    <col min="3074" max="3074" width="9.25" customWidth="1"/>
    <col min="3075" max="3075" width="22.125" customWidth="1"/>
    <col min="3076" max="3076" width="6.375" customWidth="1"/>
    <col min="3077" max="3077" width="4" customWidth="1"/>
    <col min="3078" max="3078" width="2.625" customWidth="1"/>
    <col min="3079" max="3079" width="9.25" customWidth="1"/>
    <col min="3080" max="3080" width="22.125" customWidth="1"/>
    <col min="3081" max="3081" width="6.375" customWidth="1"/>
    <col min="3082" max="3082" width="2.625" customWidth="1"/>
    <col min="3083" max="3083" width="3.625" customWidth="1"/>
    <col min="3084" max="3084" width="2.625" customWidth="1"/>
    <col min="3085" max="3085" width="10.625" customWidth="1"/>
    <col min="3086" max="3086" width="30.75" customWidth="1"/>
    <col min="3087" max="3087" width="2.625" customWidth="1"/>
    <col min="3088" max="3088" width="28.875" customWidth="1"/>
    <col min="3089" max="3089" width="10.75" customWidth="1"/>
    <col min="3329" max="3329" width="2.625" customWidth="1"/>
    <col min="3330" max="3330" width="9.25" customWidth="1"/>
    <col min="3331" max="3331" width="22.125" customWidth="1"/>
    <col min="3332" max="3332" width="6.375" customWidth="1"/>
    <col min="3333" max="3333" width="4" customWidth="1"/>
    <col min="3334" max="3334" width="2.625" customWidth="1"/>
    <col min="3335" max="3335" width="9.25" customWidth="1"/>
    <col min="3336" max="3336" width="22.125" customWidth="1"/>
    <col min="3337" max="3337" width="6.375" customWidth="1"/>
    <col min="3338" max="3338" width="2.625" customWidth="1"/>
    <col min="3339" max="3339" width="3.625" customWidth="1"/>
    <col min="3340" max="3340" width="2.625" customWidth="1"/>
    <col min="3341" max="3341" width="10.625" customWidth="1"/>
    <col min="3342" max="3342" width="30.75" customWidth="1"/>
    <col min="3343" max="3343" width="2.625" customWidth="1"/>
    <col min="3344" max="3344" width="28.875" customWidth="1"/>
    <col min="3345" max="3345" width="10.75" customWidth="1"/>
    <col min="3585" max="3585" width="2.625" customWidth="1"/>
    <col min="3586" max="3586" width="9.25" customWidth="1"/>
    <col min="3587" max="3587" width="22.125" customWidth="1"/>
    <col min="3588" max="3588" width="6.375" customWidth="1"/>
    <col min="3589" max="3589" width="4" customWidth="1"/>
    <col min="3590" max="3590" width="2.625" customWidth="1"/>
    <col min="3591" max="3591" width="9.25" customWidth="1"/>
    <col min="3592" max="3592" width="22.125" customWidth="1"/>
    <col min="3593" max="3593" width="6.375" customWidth="1"/>
    <col min="3594" max="3594" width="2.625" customWidth="1"/>
    <col min="3595" max="3595" width="3.625" customWidth="1"/>
    <col min="3596" max="3596" width="2.625" customWidth="1"/>
    <col min="3597" max="3597" width="10.625" customWidth="1"/>
    <col min="3598" max="3598" width="30.75" customWidth="1"/>
    <col min="3599" max="3599" width="2.625" customWidth="1"/>
    <col min="3600" max="3600" width="28.875" customWidth="1"/>
    <col min="3601" max="3601" width="10.75" customWidth="1"/>
    <col min="3841" max="3841" width="2.625" customWidth="1"/>
    <col min="3842" max="3842" width="9.25" customWidth="1"/>
    <col min="3843" max="3843" width="22.125" customWidth="1"/>
    <col min="3844" max="3844" width="6.375" customWidth="1"/>
    <col min="3845" max="3845" width="4" customWidth="1"/>
    <col min="3846" max="3846" width="2.625" customWidth="1"/>
    <col min="3847" max="3847" width="9.25" customWidth="1"/>
    <col min="3848" max="3848" width="22.125" customWidth="1"/>
    <col min="3849" max="3849" width="6.375" customWidth="1"/>
    <col min="3850" max="3850" width="2.625" customWidth="1"/>
    <col min="3851" max="3851" width="3.625" customWidth="1"/>
    <col min="3852" max="3852" width="2.625" customWidth="1"/>
    <col min="3853" max="3853" width="10.625" customWidth="1"/>
    <col min="3854" max="3854" width="30.75" customWidth="1"/>
    <col min="3855" max="3855" width="2.625" customWidth="1"/>
    <col min="3856" max="3856" width="28.875" customWidth="1"/>
    <col min="3857" max="3857" width="10.75" customWidth="1"/>
    <col min="4097" max="4097" width="2.625" customWidth="1"/>
    <col min="4098" max="4098" width="9.25" customWidth="1"/>
    <col min="4099" max="4099" width="22.125" customWidth="1"/>
    <col min="4100" max="4100" width="6.375" customWidth="1"/>
    <col min="4101" max="4101" width="4" customWidth="1"/>
    <col min="4102" max="4102" width="2.625" customWidth="1"/>
    <col min="4103" max="4103" width="9.25" customWidth="1"/>
    <col min="4104" max="4104" width="22.125" customWidth="1"/>
    <col min="4105" max="4105" width="6.375" customWidth="1"/>
    <col min="4106" max="4106" width="2.625" customWidth="1"/>
    <col min="4107" max="4107" width="3.625" customWidth="1"/>
    <col min="4108" max="4108" width="2.625" customWidth="1"/>
    <col min="4109" max="4109" width="10.625" customWidth="1"/>
    <col min="4110" max="4110" width="30.75" customWidth="1"/>
    <col min="4111" max="4111" width="2.625" customWidth="1"/>
    <col min="4112" max="4112" width="28.875" customWidth="1"/>
    <col min="4113" max="4113" width="10.75" customWidth="1"/>
    <col min="4353" max="4353" width="2.625" customWidth="1"/>
    <col min="4354" max="4354" width="9.25" customWidth="1"/>
    <col min="4355" max="4355" width="22.125" customWidth="1"/>
    <col min="4356" max="4356" width="6.375" customWidth="1"/>
    <col min="4357" max="4357" width="4" customWidth="1"/>
    <col min="4358" max="4358" width="2.625" customWidth="1"/>
    <col min="4359" max="4359" width="9.25" customWidth="1"/>
    <col min="4360" max="4360" width="22.125" customWidth="1"/>
    <col min="4361" max="4361" width="6.375" customWidth="1"/>
    <col min="4362" max="4362" width="2.625" customWidth="1"/>
    <col min="4363" max="4363" width="3.625" customWidth="1"/>
    <col min="4364" max="4364" width="2.625" customWidth="1"/>
    <col min="4365" max="4365" width="10.625" customWidth="1"/>
    <col min="4366" max="4366" width="30.75" customWidth="1"/>
    <col min="4367" max="4367" width="2.625" customWidth="1"/>
    <col min="4368" max="4368" width="28.875" customWidth="1"/>
    <col min="4369" max="4369" width="10.75" customWidth="1"/>
    <col min="4609" max="4609" width="2.625" customWidth="1"/>
    <col min="4610" max="4610" width="9.25" customWidth="1"/>
    <col min="4611" max="4611" width="22.125" customWidth="1"/>
    <col min="4612" max="4612" width="6.375" customWidth="1"/>
    <col min="4613" max="4613" width="4" customWidth="1"/>
    <col min="4614" max="4614" width="2.625" customWidth="1"/>
    <col min="4615" max="4615" width="9.25" customWidth="1"/>
    <col min="4616" max="4616" width="22.125" customWidth="1"/>
    <col min="4617" max="4617" width="6.375" customWidth="1"/>
    <col min="4618" max="4618" width="2.625" customWidth="1"/>
    <col min="4619" max="4619" width="3.625" customWidth="1"/>
    <col min="4620" max="4620" width="2.625" customWidth="1"/>
    <col min="4621" max="4621" width="10.625" customWidth="1"/>
    <col min="4622" max="4622" width="30.75" customWidth="1"/>
    <col min="4623" max="4623" width="2.625" customWidth="1"/>
    <col min="4624" max="4624" width="28.875" customWidth="1"/>
    <col min="4625" max="4625" width="10.75" customWidth="1"/>
    <col min="4865" max="4865" width="2.625" customWidth="1"/>
    <col min="4866" max="4866" width="9.25" customWidth="1"/>
    <col min="4867" max="4867" width="22.125" customWidth="1"/>
    <col min="4868" max="4868" width="6.375" customWidth="1"/>
    <col min="4869" max="4869" width="4" customWidth="1"/>
    <col min="4870" max="4870" width="2.625" customWidth="1"/>
    <col min="4871" max="4871" width="9.25" customWidth="1"/>
    <col min="4872" max="4872" width="22.125" customWidth="1"/>
    <col min="4873" max="4873" width="6.375" customWidth="1"/>
    <col min="4874" max="4874" width="2.625" customWidth="1"/>
    <col min="4875" max="4875" width="3.625" customWidth="1"/>
    <col min="4876" max="4876" width="2.625" customWidth="1"/>
    <col min="4877" max="4877" width="10.625" customWidth="1"/>
    <col min="4878" max="4878" width="30.75" customWidth="1"/>
    <col min="4879" max="4879" width="2.625" customWidth="1"/>
    <col min="4880" max="4880" width="28.875" customWidth="1"/>
    <col min="4881" max="4881" width="10.75" customWidth="1"/>
    <col min="5121" max="5121" width="2.625" customWidth="1"/>
    <col min="5122" max="5122" width="9.25" customWidth="1"/>
    <col min="5123" max="5123" width="22.125" customWidth="1"/>
    <col min="5124" max="5124" width="6.375" customWidth="1"/>
    <col min="5125" max="5125" width="4" customWidth="1"/>
    <col min="5126" max="5126" width="2.625" customWidth="1"/>
    <col min="5127" max="5127" width="9.25" customWidth="1"/>
    <col min="5128" max="5128" width="22.125" customWidth="1"/>
    <col min="5129" max="5129" width="6.375" customWidth="1"/>
    <col min="5130" max="5130" width="2.625" customWidth="1"/>
    <col min="5131" max="5131" width="3.625" customWidth="1"/>
    <col min="5132" max="5132" width="2.625" customWidth="1"/>
    <col min="5133" max="5133" width="10.625" customWidth="1"/>
    <col min="5134" max="5134" width="30.75" customWidth="1"/>
    <col min="5135" max="5135" width="2.625" customWidth="1"/>
    <col min="5136" max="5136" width="28.875" customWidth="1"/>
    <col min="5137" max="5137" width="10.75" customWidth="1"/>
    <col min="5377" max="5377" width="2.625" customWidth="1"/>
    <col min="5378" max="5378" width="9.25" customWidth="1"/>
    <col min="5379" max="5379" width="22.125" customWidth="1"/>
    <col min="5380" max="5380" width="6.375" customWidth="1"/>
    <col min="5381" max="5381" width="4" customWidth="1"/>
    <col min="5382" max="5382" width="2.625" customWidth="1"/>
    <col min="5383" max="5383" width="9.25" customWidth="1"/>
    <col min="5384" max="5384" width="22.125" customWidth="1"/>
    <col min="5385" max="5385" width="6.375" customWidth="1"/>
    <col min="5386" max="5386" width="2.625" customWidth="1"/>
    <col min="5387" max="5387" width="3.625" customWidth="1"/>
    <col min="5388" max="5388" width="2.625" customWidth="1"/>
    <col min="5389" max="5389" width="10.625" customWidth="1"/>
    <col min="5390" max="5390" width="30.75" customWidth="1"/>
    <col min="5391" max="5391" width="2.625" customWidth="1"/>
    <col min="5392" max="5392" width="28.875" customWidth="1"/>
    <col min="5393" max="5393" width="10.75" customWidth="1"/>
    <col min="5633" max="5633" width="2.625" customWidth="1"/>
    <col min="5634" max="5634" width="9.25" customWidth="1"/>
    <col min="5635" max="5635" width="22.125" customWidth="1"/>
    <col min="5636" max="5636" width="6.375" customWidth="1"/>
    <col min="5637" max="5637" width="4" customWidth="1"/>
    <col min="5638" max="5638" width="2.625" customWidth="1"/>
    <col min="5639" max="5639" width="9.25" customWidth="1"/>
    <col min="5640" max="5640" width="22.125" customWidth="1"/>
    <col min="5641" max="5641" width="6.375" customWidth="1"/>
    <col min="5642" max="5642" width="2.625" customWidth="1"/>
    <col min="5643" max="5643" width="3.625" customWidth="1"/>
    <col min="5644" max="5644" width="2.625" customWidth="1"/>
    <col min="5645" max="5645" width="10.625" customWidth="1"/>
    <col min="5646" max="5646" width="30.75" customWidth="1"/>
    <col min="5647" max="5647" width="2.625" customWidth="1"/>
    <col min="5648" max="5648" width="28.875" customWidth="1"/>
    <col min="5649" max="5649" width="10.75" customWidth="1"/>
    <col min="5889" max="5889" width="2.625" customWidth="1"/>
    <col min="5890" max="5890" width="9.25" customWidth="1"/>
    <col min="5891" max="5891" width="22.125" customWidth="1"/>
    <col min="5892" max="5892" width="6.375" customWidth="1"/>
    <col min="5893" max="5893" width="4" customWidth="1"/>
    <col min="5894" max="5894" width="2.625" customWidth="1"/>
    <col min="5895" max="5895" width="9.25" customWidth="1"/>
    <col min="5896" max="5896" width="22.125" customWidth="1"/>
    <col min="5897" max="5897" width="6.375" customWidth="1"/>
    <col min="5898" max="5898" width="2.625" customWidth="1"/>
    <col min="5899" max="5899" width="3.625" customWidth="1"/>
    <col min="5900" max="5900" width="2.625" customWidth="1"/>
    <col min="5901" max="5901" width="10.625" customWidth="1"/>
    <col min="5902" max="5902" width="30.75" customWidth="1"/>
    <col min="5903" max="5903" width="2.625" customWidth="1"/>
    <col min="5904" max="5904" width="28.875" customWidth="1"/>
    <col min="5905" max="5905" width="10.75" customWidth="1"/>
    <col min="6145" max="6145" width="2.625" customWidth="1"/>
    <col min="6146" max="6146" width="9.25" customWidth="1"/>
    <col min="6147" max="6147" width="22.125" customWidth="1"/>
    <col min="6148" max="6148" width="6.375" customWidth="1"/>
    <col min="6149" max="6149" width="4" customWidth="1"/>
    <col min="6150" max="6150" width="2.625" customWidth="1"/>
    <col min="6151" max="6151" width="9.25" customWidth="1"/>
    <col min="6152" max="6152" width="22.125" customWidth="1"/>
    <col min="6153" max="6153" width="6.375" customWidth="1"/>
    <col min="6154" max="6154" width="2.625" customWidth="1"/>
    <col min="6155" max="6155" width="3.625" customWidth="1"/>
    <col min="6156" max="6156" width="2.625" customWidth="1"/>
    <col min="6157" max="6157" width="10.625" customWidth="1"/>
    <col min="6158" max="6158" width="30.75" customWidth="1"/>
    <col min="6159" max="6159" width="2.625" customWidth="1"/>
    <col min="6160" max="6160" width="28.875" customWidth="1"/>
    <col min="6161" max="6161" width="10.75" customWidth="1"/>
    <col min="6401" max="6401" width="2.625" customWidth="1"/>
    <col min="6402" max="6402" width="9.25" customWidth="1"/>
    <col min="6403" max="6403" width="22.125" customWidth="1"/>
    <col min="6404" max="6404" width="6.375" customWidth="1"/>
    <col min="6405" max="6405" width="4" customWidth="1"/>
    <col min="6406" max="6406" width="2.625" customWidth="1"/>
    <col min="6407" max="6407" width="9.25" customWidth="1"/>
    <col min="6408" max="6408" width="22.125" customWidth="1"/>
    <col min="6409" max="6409" width="6.375" customWidth="1"/>
    <col min="6410" max="6410" width="2.625" customWidth="1"/>
    <col min="6411" max="6411" width="3.625" customWidth="1"/>
    <col min="6412" max="6412" width="2.625" customWidth="1"/>
    <col min="6413" max="6413" width="10.625" customWidth="1"/>
    <col min="6414" max="6414" width="30.75" customWidth="1"/>
    <col min="6415" max="6415" width="2.625" customWidth="1"/>
    <col min="6416" max="6416" width="28.875" customWidth="1"/>
    <col min="6417" max="6417" width="10.75" customWidth="1"/>
    <col min="6657" max="6657" width="2.625" customWidth="1"/>
    <col min="6658" max="6658" width="9.25" customWidth="1"/>
    <col min="6659" max="6659" width="22.125" customWidth="1"/>
    <col min="6660" max="6660" width="6.375" customWidth="1"/>
    <col min="6661" max="6661" width="4" customWidth="1"/>
    <col min="6662" max="6662" width="2.625" customWidth="1"/>
    <col min="6663" max="6663" width="9.25" customWidth="1"/>
    <col min="6664" max="6664" width="22.125" customWidth="1"/>
    <col min="6665" max="6665" width="6.375" customWidth="1"/>
    <col min="6666" max="6666" width="2.625" customWidth="1"/>
    <col min="6667" max="6667" width="3.625" customWidth="1"/>
    <col min="6668" max="6668" width="2.625" customWidth="1"/>
    <col min="6669" max="6669" width="10.625" customWidth="1"/>
    <col min="6670" max="6670" width="30.75" customWidth="1"/>
    <col min="6671" max="6671" width="2.625" customWidth="1"/>
    <col min="6672" max="6672" width="28.875" customWidth="1"/>
    <col min="6673" max="6673" width="10.75" customWidth="1"/>
    <col min="6913" max="6913" width="2.625" customWidth="1"/>
    <col min="6914" max="6914" width="9.25" customWidth="1"/>
    <col min="6915" max="6915" width="22.125" customWidth="1"/>
    <col min="6916" max="6916" width="6.375" customWidth="1"/>
    <col min="6917" max="6917" width="4" customWidth="1"/>
    <col min="6918" max="6918" width="2.625" customWidth="1"/>
    <col min="6919" max="6919" width="9.25" customWidth="1"/>
    <col min="6920" max="6920" width="22.125" customWidth="1"/>
    <col min="6921" max="6921" width="6.375" customWidth="1"/>
    <col min="6922" max="6922" width="2.625" customWidth="1"/>
    <col min="6923" max="6923" width="3.625" customWidth="1"/>
    <col min="6924" max="6924" width="2.625" customWidth="1"/>
    <col min="6925" max="6925" width="10.625" customWidth="1"/>
    <col min="6926" max="6926" width="30.75" customWidth="1"/>
    <col min="6927" max="6927" width="2.625" customWidth="1"/>
    <col min="6928" max="6928" width="28.875" customWidth="1"/>
    <col min="6929" max="6929" width="10.75" customWidth="1"/>
    <col min="7169" max="7169" width="2.625" customWidth="1"/>
    <col min="7170" max="7170" width="9.25" customWidth="1"/>
    <col min="7171" max="7171" width="22.125" customWidth="1"/>
    <col min="7172" max="7172" width="6.375" customWidth="1"/>
    <col min="7173" max="7173" width="4" customWidth="1"/>
    <col min="7174" max="7174" width="2.625" customWidth="1"/>
    <col min="7175" max="7175" width="9.25" customWidth="1"/>
    <col min="7176" max="7176" width="22.125" customWidth="1"/>
    <col min="7177" max="7177" width="6.375" customWidth="1"/>
    <col min="7178" max="7178" width="2.625" customWidth="1"/>
    <col min="7179" max="7179" width="3.625" customWidth="1"/>
    <col min="7180" max="7180" width="2.625" customWidth="1"/>
    <col min="7181" max="7181" width="10.625" customWidth="1"/>
    <col min="7182" max="7182" width="30.75" customWidth="1"/>
    <col min="7183" max="7183" width="2.625" customWidth="1"/>
    <col min="7184" max="7184" width="28.875" customWidth="1"/>
    <col min="7185" max="7185" width="10.75" customWidth="1"/>
    <col min="7425" max="7425" width="2.625" customWidth="1"/>
    <col min="7426" max="7426" width="9.25" customWidth="1"/>
    <col min="7427" max="7427" width="22.125" customWidth="1"/>
    <col min="7428" max="7428" width="6.375" customWidth="1"/>
    <col min="7429" max="7429" width="4" customWidth="1"/>
    <col min="7430" max="7430" width="2.625" customWidth="1"/>
    <col min="7431" max="7431" width="9.25" customWidth="1"/>
    <col min="7432" max="7432" width="22.125" customWidth="1"/>
    <col min="7433" max="7433" width="6.375" customWidth="1"/>
    <col min="7434" max="7434" width="2.625" customWidth="1"/>
    <col min="7435" max="7435" width="3.625" customWidth="1"/>
    <col min="7436" max="7436" width="2.625" customWidth="1"/>
    <col min="7437" max="7437" width="10.625" customWidth="1"/>
    <col min="7438" max="7438" width="30.75" customWidth="1"/>
    <col min="7439" max="7439" width="2.625" customWidth="1"/>
    <col min="7440" max="7440" width="28.875" customWidth="1"/>
    <col min="7441" max="7441" width="10.75" customWidth="1"/>
    <col min="7681" max="7681" width="2.625" customWidth="1"/>
    <col min="7682" max="7682" width="9.25" customWidth="1"/>
    <col min="7683" max="7683" width="22.125" customWidth="1"/>
    <col min="7684" max="7684" width="6.375" customWidth="1"/>
    <col min="7685" max="7685" width="4" customWidth="1"/>
    <col min="7686" max="7686" width="2.625" customWidth="1"/>
    <col min="7687" max="7687" width="9.25" customWidth="1"/>
    <col min="7688" max="7688" width="22.125" customWidth="1"/>
    <col min="7689" max="7689" width="6.375" customWidth="1"/>
    <col min="7690" max="7690" width="2.625" customWidth="1"/>
    <col min="7691" max="7691" width="3.625" customWidth="1"/>
    <col min="7692" max="7692" width="2.625" customWidth="1"/>
    <col min="7693" max="7693" width="10.625" customWidth="1"/>
    <col min="7694" max="7694" width="30.75" customWidth="1"/>
    <col min="7695" max="7695" width="2.625" customWidth="1"/>
    <col min="7696" max="7696" width="28.875" customWidth="1"/>
    <col min="7697" max="7697" width="10.75" customWidth="1"/>
    <col min="7937" max="7937" width="2.625" customWidth="1"/>
    <col min="7938" max="7938" width="9.25" customWidth="1"/>
    <col min="7939" max="7939" width="22.125" customWidth="1"/>
    <col min="7940" max="7940" width="6.375" customWidth="1"/>
    <col min="7941" max="7941" width="4" customWidth="1"/>
    <col min="7942" max="7942" width="2.625" customWidth="1"/>
    <col min="7943" max="7943" width="9.25" customWidth="1"/>
    <col min="7944" max="7944" width="22.125" customWidth="1"/>
    <col min="7945" max="7945" width="6.375" customWidth="1"/>
    <col min="7946" max="7946" width="2.625" customWidth="1"/>
    <col min="7947" max="7947" width="3.625" customWidth="1"/>
    <col min="7948" max="7948" width="2.625" customWidth="1"/>
    <col min="7949" max="7949" width="10.625" customWidth="1"/>
    <col min="7950" max="7950" width="30.75" customWidth="1"/>
    <col min="7951" max="7951" width="2.625" customWidth="1"/>
    <col min="7952" max="7952" width="28.875" customWidth="1"/>
    <col min="7953" max="7953" width="10.75" customWidth="1"/>
    <col min="8193" max="8193" width="2.625" customWidth="1"/>
    <col min="8194" max="8194" width="9.25" customWidth="1"/>
    <col min="8195" max="8195" width="22.125" customWidth="1"/>
    <col min="8196" max="8196" width="6.375" customWidth="1"/>
    <col min="8197" max="8197" width="4" customWidth="1"/>
    <col min="8198" max="8198" width="2.625" customWidth="1"/>
    <col min="8199" max="8199" width="9.25" customWidth="1"/>
    <col min="8200" max="8200" width="22.125" customWidth="1"/>
    <col min="8201" max="8201" width="6.375" customWidth="1"/>
    <col min="8202" max="8202" width="2.625" customWidth="1"/>
    <col min="8203" max="8203" width="3.625" customWidth="1"/>
    <col min="8204" max="8204" width="2.625" customWidth="1"/>
    <col min="8205" max="8205" width="10.625" customWidth="1"/>
    <col min="8206" max="8206" width="30.75" customWidth="1"/>
    <col min="8207" max="8207" width="2.625" customWidth="1"/>
    <col min="8208" max="8208" width="28.875" customWidth="1"/>
    <col min="8209" max="8209" width="10.75" customWidth="1"/>
    <col min="8449" max="8449" width="2.625" customWidth="1"/>
    <col min="8450" max="8450" width="9.25" customWidth="1"/>
    <col min="8451" max="8451" width="22.125" customWidth="1"/>
    <col min="8452" max="8452" width="6.375" customWidth="1"/>
    <col min="8453" max="8453" width="4" customWidth="1"/>
    <col min="8454" max="8454" width="2.625" customWidth="1"/>
    <col min="8455" max="8455" width="9.25" customWidth="1"/>
    <col min="8456" max="8456" width="22.125" customWidth="1"/>
    <col min="8457" max="8457" width="6.375" customWidth="1"/>
    <col min="8458" max="8458" width="2.625" customWidth="1"/>
    <col min="8459" max="8459" width="3.625" customWidth="1"/>
    <col min="8460" max="8460" width="2.625" customWidth="1"/>
    <col min="8461" max="8461" width="10.625" customWidth="1"/>
    <col min="8462" max="8462" width="30.75" customWidth="1"/>
    <col min="8463" max="8463" width="2.625" customWidth="1"/>
    <col min="8464" max="8464" width="28.875" customWidth="1"/>
    <col min="8465" max="8465" width="10.75" customWidth="1"/>
    <col min="8705" max="8705" width="2.625" customWidth="1"/>
    <col min="8706" max="8706" width="9.25" customWidth="1"/>
    <col min="8707" max="8707" width="22.125" customWidth="1"/>
    <col min="8708" max="8708" width="6.375" customWidth="1"/>
    <col min="8709" max="8709" width="4" customWidth="1"/>
    <col min="8710" max="8710" width="2.625" customWidth="1"/>
    <col min="8711" max="8711" width="9.25" customWidth="1"/>
    <col min="8712" max="8712" width="22.125" customWidth="1"/>
    <col min="8713" max="8713" width="6.375" customWidth="1"/>
    <col min="8714" max="8714" width="2.625" customWidth="1"/>
    <col min="8715" max="8715" width="3.625" customWidth="1"/>
    <col min="8716" max="8716" width="2.625" customWidth="1"/>
    <col min="8717" max="8717" width="10.625" customWidth="1"/>
    <col min="8718" max="8718" width="30.75" customWidth="1"/>
    <col min="8719" max="8719" width="2.625" customWidth="1"/>
    <col min="8720" max="8720" width="28.875" customWidth="1"/>
    <col min="8721" max="8721" width="10.75" customWidth="1"/>
    <col min="8961" max="8961" width="2.625" customWidth="1"/>
    <col min="8962" max="8962" width="9.25" customWidth="1"/>
    <col min="8963" max="8963" width="22.125" customWidth="1"/>
    <col min="8964" max="8964" width="6.375" customWidth="1"/>
    <col min="8965" max="8965" width="4" customWidth="1"/>
    <col min="8966" max="8966" width="2.625" customWidth="1"/>
    <col min="8967" max="8967" width="9.25" customWidth="1"/>
    <col min="8968" max="8968" width="22.125" customWidth="1"/>
    <col min="8969" max="8969" width="6.375" customWidth="1"/>
    <col min="8970" max="8970" width="2.625" customWidth="1"/>
    <col min="8971" max="8971" width="3.625" customWidth="1"/>
    <col min="8972" max="8972" width="2.625" customWidth="1"/>
    <col min="8973" max="8973" width="10.625" customWidth="1"/>
    <col min="8974" max="8974" width="30.75" customWidth="1"/>
    <col min="8975" max="8975" width="2.625" customWidth="1"/>
    <col min="8976" max="8976" width="28.875" customWidth="1"/>
    <col min="8977" max="8977" width="10.75" customWidth="1"/>
    <col min="9217" max="9217" width="2.625" customWidth="1"/>
    <col min="9218" max="9218" width="9.25" customWidth="1"/>
    <col min="9219" max="9219" width="22.125" customWidth="1"/>
    <col min="9220" max="9220" width="6.375" customWidth="1"/>
    <col min="9221" max="9221" width="4" customWidth="1"/>
    <col min="9222" max="9222" width="2.625" customWidth="1"/>
    <col min="9223" max="9223" width="9.25" customWidth="1"/>
    <col min="9224" max="9224" width="22.125" customWidth="1"/>
    <col min="9225" max="9225" width="6.375" customWidth="1"/>
    <col min="9226" max="9226" width="2.625" customWidth="1"/>
    <col min="9227" max="9227" width="3.625" customWidth="1"/>
    <col min="9228" max="9228" width="2.625" customWidth="1"/>
    <col min="9229" max="9229" width="10.625" customWidth="1"/>
    <col min="9230" max="9230" width="30.75" customWidth="1"/>
    <col min="9231" max="9231" width="2.625" customWidth="1"/>
    <col min="9232" max="9232" width="28.875" customWidth="1"/>
    <col min="9233" max="9233" width="10.75" customWidth="1"/>
    <col min="9473" max="9473" width="2.625" customWidth="1"/>
    <col min="9474" max="9474" width="9.25" customWidth="1"/>
    <col min="9475" max="9475" width="22.125" customWidth="1"/>
    <col min="9476" max="9476" width="6.375" customWidth="1"/>
    <col min="9477" max="9477" width="4" customWidth="1"/>
    <col min="9478" max="9478" width="2.625" customWidth="1"/>
    <col min="9479" max="9479" width="9.25" customWidth="1"/>
    <col min="9480" max="9480" width="22.125" customWidth="1"/>
    <col min="9481" max="9481" width="6.375" customWidth="1"/>
    <col min="9482" max="9482" width="2.625" customWidth="1"/>
    <col min="9483" max="9483" width="3.625" customWidth="1"/>
    <col min="9484" max="9484" width="2.625" customWidth="1"/>
    <col min="9485" max="9485" width="10.625" customWidth="1"/>
    <col min="9486" max="9486" width="30.75" customWidth="1"/>
    <col min="9487" max="9487" width="2.625" customWidth="1"/>
    <col min="9488" max="9488" width="28.875" customWidth="1"/>
    <col min="9489" max="9489" width="10.75" customWidth="1"/>
    <col min="9729" max="9729" width="2.625" customWidth="1"/>
    <col min="9730" max="9730" width="9.25" customWidth="1"/>
    <col min="9731" max="9731" width="22.125" customWidth="1"/>
    <col min="9732" max="9732" width="6.375" customWidth="1"/>
    <col min="9733" max="9733" width="4" customWidth="1"/>
    <col min="9734" max="9734" width="2.625" customWidth="1"/>
    <col min="9735" max="9735" width="9.25" customWidth="1"/>
    <col min="9736" max="9736" width="22.125" customWidth="1"/>
    <col min="9737" max="9737" width="6.375" customWidth="1"/>
    <col min="9738" max="9738" width="2.625" customWidth="1"/>
    <col min="9739" max="9739" width="3.625" customWidth="1"/>
    <col min="9740" max="9740" width="2.625" customWidth="1"/>
    <col min="9741" max="9741" width="10.625" customWidth="1"/>
    <col min="9742" max="9742" width="30.75" customWidth="1"/>
    <col min="9743" max="9743" width="2.625" customWidth="1"/>
    <col min="9744" max="9744" width="28.875" customWidth="1"/>
    <col min="9745" max="9745" width="10.75" customWidth="1"/>
    <col min="9985" max="9985" width="2.625" customWidth="1"/>
    <col min="9986" max="9986" width="9.25" customWidth="1"/>
    <col min="9987" max="9987" width="22.125" customWidth="1"/>
    <col min="9988" max="9988" width="6.375" customWidth="1"/>
    <col min="9989" max="9989" width="4" customWidth="1"/>
    <col min="9990" max="9990" width="2.625" customWidth="1"/>
    <col min="9991" max="9991" width="9.25" customWidth="1"/>
    <col min="9992" max="9992" width="22.125" customWidth="1"/>
    <col min="9993" max="9993" width="6.375" customWidth="1"/>
    <col min="9994" max="9994" width="2.625" customWidth="1"/>
    <col min="9995" max="9995" width="3.625" customWidth="1"/>
    <col min="9996" max="9996" width="2.625" customWidth="1"/>
    <col min="9997" max="9997" width="10.625" customWidth="1"/>
    <col min="9998" max="9998" width="30.75" customWidth="1"/>
    <col min="9999" max="9999" width="2.625" customWidth="1"/>
    <col min="10000" max="10000" width="28.875" customWidth="1"/>
    <col min="10001" max="10001" width="10.75" customWidth="1"/>
    <col min="10241" max="10241" width="2.625" customWidth="1"/>
    <col min="10242" max="10242" width="9.25" customWidth="1"/>
    <col min="10243" max="10243" width="22.125" customWidth="1"/>
    <col min="10244" max="10244" width="6.375" customWidth="1"/>
    <col min="10245" max="10245" width="4" customWidth="1"/>
    <col min="10246" max="10246" width="2.625" customWidth="1"/>
    <col min="10247" max="10247" width="9.25" customWidth="1"/>
    <col min="10248" max="10248" width="22.125" customWidth="1"/>
    <col min="10249" max="10249" width="6.375" customWidth="1"/>
    <col min="10250" max="10250" width="2.625" customWidth="1"/>
    <col min="10251" max="10251" width="3.625" customWidth="1"/>
    <col min="10252" max="10252" width="2.625" customWidth="1"/>
    <col min="10253" max="10253" width="10.625" customWidth="1"/>
    <col min="10254" max="10254" width="30.75" customWidth="1"/>
    <col min="10255" max="10255" width="2.625" customWidth="1"/>
    <col min="10256" max="10256" width="28.875" customWidth="1"/>
    <col min="10257" max="10257" width="10.75" customWidth="1"/>
    <col min="10497" max="10497" width="2.625" customWidth="1"/>
    <col min="10498" max="10498" width="9.25" customWidth="1"/>
    <col min="10499" max="10499" width="22.125" customWidth="1"/>
    <col min="10500" max="10500" width="6.375" customWidth="1"/>
    <col min="10501" max="10501" width="4" customWidth="1"/>
    <col min="10502" max="10502" width="2.625" customWidth="1"/>
    <col min="10503" max="10503" width="9.25" customWidth="1"/>
    <col min="10504" max="10504" width="22.125" customWidth="1"/>
    <col min="10505" max="10505" width="6.375" customWidth="1"/>
    <col min="10506" max="10506" width="2.625" customWidth="1"/>
    <col min="10507" max="10507" width="3.625" customWidth="1"/>
    <col min="10508" max="10508" width="2.625" customWidth="1"/>
    <col min="10509" max="10509" width="10.625" customWidth="1"/>
    <col min="10510" max="10510" width="30.75" customWidth="1"/>
    <col min="10511" max="10511" width="2.625" customWidth="1"/>
    <col min="10512" max="10512" width="28.875" customWidth="1"/>
    <col min="10513" max="10513" width="10.75" customWidth="1"/>
    <col min="10753" max="10753" width="2.625" customWidth="1"/>
    <col min="10754" max="10754" width="9.25" customWidth="1"/>
    <col min="10755" max="10755" width="22.125" customWidth="1"/>
    <col min="10756" max="10756" width="6.375" customWidth="1"/>
    <col min="10757" max="10757" width="4" customWidth="1"/>
    <col min="10758" max="10758" width="2.625" customWidth="1"/>
    <col min="10759" max="10759" width="9.25" customWidth="1"/>
    <col min="10760" max="10760" width="22.125" customWidth="1"/>
    <col min="10761" max="10761" width="6.375" customWidth="1"/>
    <col min="10762" max="10762" width="2.625" customWidth="1"/>
    <col min="10763" max="10763" width="3.625" customWidth="1"/>
    <col min="10764" max="10764" width="2.625" customWidth="1"/>
    <col min="10765" max="10765" width="10.625" customWidth="1"/>
    <col min="10766" max="10766" width="30.75" customWidth="1"/>
    <col min="10767" max="10767" width="2.625" customWidth="1"/>
    <col min="10768" max="10768" width="28.875" customWidth="1"/>
    <col min="10769" max="10769" width="10.75" customWidth="1"/>
    <col min="11009" max="11009" width="2.625" customWidth="1"/>
    <col min="11010" max="11010" width="9.25" customWidth="1"/>
    <col min="11011" max="11011" width="22.125" customWidth="1"/>
    <col min="11012" max="11012" width="6.375" customWidth="1"/>
    <col min="11013" max="11013" width="4" customWidth="1"/>
    <col min="11014" max="11014" width="2.625" customWidth="1"/>
    <col min="11015" max="11015" width="9.25" customWidth="1"/>
    <col min="11016" max="11016" width="22.125" customWidth="1"/>
    <col min="11017" max="11017" width="6.375" customWidth="1"/>
    <col min="11018" max="11018" width="2.625" customWidth="1"/>
    <col min="11019" max="11019" width="3.625" customWidth="1"/>
    <col min="11020" max="11020" width="2.625" customWidth="1"/>
    <col min="11021" max="11021" width="10.625" customWidth="1"/>
    <col min="11022" max="11022" width="30.75" customWidth="1"/>
    <col min="11023" max="11023" width="2.625" customWidth="1"/>
    <col min="11024" max="11024" width="28.875" customWidth="1"/>
    <col min="11025" max="11025" width="10.75" customWidth="1"/>
    <col min="11265" max="11265" width="2.625" customWidth="1"/>
    <col min="11266" max="11266" width="9.25" customWidth="1"/>
    <col min="11267" max="11267" width="22.125" customWidth="1"/>
    <col min="11268" max="11268" width="6.375" customWidth="1"/>
    <col min="11269" max="11269" width="4" customWidth="1"/>
    <col min="11270" max="11270" width="2.625" customWidth="1"/>
    <col min="11271" max="11271" width="9.25" customWidth="1"/>
    <col min="11272" max="11272" width="22.125" customWidth="1"/>
    <col min="11273" max="11273" width="6.375" customWidth="1"/>
    <col min="11274" max="11274" width="2.625" customWidth="1"/>
    <col min="11275" max="11275" width="3.625" customWidth="1"/>
    <col min="11276" max="11276" width="2.625" customWidth="1"/>
    <col min="11277" max="11277" width="10.625" customWidth="1"/>
    <col min="11278" max="11278" width="30.75" customWidth="1"/>
    <col min="11279" max="11279" width="2.625" customWidth="1"/>
    <col min="11280" max="11280" width="28.875" customWidth="1"/>
    <col min="11281" max="11281" width="10.75" customWidth="1"/>
    <col min="11521" max="11521" width="2.625" customWidth="1"/>
    <col min="11522" max="11522" width="9.25" customWidth="1"/>
    <col min="11523" max="11523" width="22.125" customWidth="1"/>
    <col min="11524" max="11524" width="6.375" customWidth="1"/>
    <col min="11525" max="11525" width="4" customWidth="1"/>
    <col min="11526" max="11526" width="2.625" customWidth="1"/>
    <col min="11527" max="11527" width="9.25" customWidth="1"/>
    <col min="11528" max="11528" width="22.125" customWidth="1"/>
    <col min="11529" max="11529" width="6.375" customWidth="1"/>
    <col min="11530" max="11530" width="2.625" customWidth="1"/>
    <col min="11531" max="11531" width="3.625" customWidth="1"/>
    <col min="11532" max="11532" width="2.625" customWidth="1"/>
    <col min="11533" max="11533" width="10.625" customWidth="1"/>
    <col min="11534" max="11534" width="30.75" customWidth="1"/>
    <col min="11535" max="11535" width="2.625" customWidth="1"/>
    <col min="11536" max="11536" width="28.875" customWidth="1"/>
    <col min="11537" max="11537" width="10.75" customWidth="1"/>
    <col min="11777" max="11777" width="2.625" customWidth="1"/>
    <col min="11778" max="11778" width="9.25" customWidth="1"/>
    <col min="11779" max="11779" width="22.125" customWidth="1"/>
    <col min="11780" max="11780" width="6.375" customWidth="1"/>
    <col min="11781" max="11781" width="4" customWidth="1"/>
    <col min="11782" max="11782" width="2.625" customWidth="1"/>
    <col min="11783" max="11783" width="9.25" customWidth="1"/>
    <col min="11784" max="11784" width="22.125" customWidth="1"/>
    <col min="11785" max="11785" width="6.375" customWidth="1"/>
    <col min="11786" max="11786" width="2.625" customWidth="1"/>
    <col min="11787" max="11787" width="3.625" customWidth="1"/>
    <col min="11788" max="11788" width="2.625" customWidth="1"/>
    <col min="11789" max="11789" width="10.625" customWidth="1"/>
    <col min="11790" max="11790" width="30.75" customWidth="1"/>
    <col min="11791" max="11791" width="2.625" customWidth="1"/>
    <col min="11792" max="11792" width="28.875" customWidth="1"/>
    <col min="11793" max="11793" width="10.75" customWidth="1"/>
    <col min="12033" max="12033" width="2.625" customWidth="1"/>
    <col min="12034" max="12034" width="9.25" customWidth="1"/>
    <col min="12035" max="12035" width="22.125" customWidth="1"/>
    <col min="12036" max="12036" width="6.375" customWidth="1"/>
    <col min="12037" max="12037" width="4" customWidth="1"/>
    <col min="12038" max="12038" width="2.625" customWidth="1"/>
    <col min="12039" max="12039" width="9.25" customWidth="1"/>
    <col min="12040" max="12040" width="22.125" customWidth="1"/>
    <col min="12041" max="12041" width="6.375" customWidth="1"/>
    <col min="12042" max="12042" width="2.625" customWidth="1"/>
    <col min="12043" max="12043" width="3.625" customWidth="1"/>
    <col min="12044" max="12044" width="2.625" customWidth="1"/>
    <col min="12045" max="12045" width="10.625" customWidth="1"/>
    <col min="12046" max="12046" width="30.75" customWidth="1"/>
    <col min="12047" max="12047" width="2.625" customWidth="1"/>
    <col min="12048" max="12048" width="28.875" customWidth="1"/>
    <col min="12049" max="12049" width="10.75" customWidth="1"/>
    <col min="12289" max="12289" width="2.625" customWidth="1"/>
    <col min="12290" max="12290" width="9.25" customWidth="1"/>
    <col min="12291" max="12291" width="22.125" customWidth="1"/>
    <col min="12292" max="12292" width="6.375" customWidth="1"/>
    <col min="12293" max="12293" width="4" customWidth="1"/>
    <col min="12294" max="12294" width="2.625" customWidth="1"/>
    <col min="12295" max="12295" width="9.25" customWidth="1"/>
    <col min="12296" max="12296" width="22.125" customWidth="1"/>
    <col min="12297" max="12297" width="6.375" customWidth="1"/>
    <col min="12298" max="12298" width="2.625" customWidth="1"/>
    <col min="12299" max="12299" width="3.625" customWidth="1"/>
    <col min="12300" max="12300" width="2.625" customWidth="1"/>
    <col min="12301" max="12301" width="10.625" customWidth="1"/>
    <col min="12302" max="12302" width="30.75" customWidth="1"/>
    <col min="12303" max="12303" width="2.625" customWidth="1"/>
    <col min="12304" max="12304" width="28.875" customWidth="1"/>
    <col min="12305" max="12305" width="10.75" customWidth="1"/>
    <col min="12545" max="12545" width="2.625" customWidth="1"/>
    <col min="12546" max="12546" width="9.25" customWidth="1"/>
    <col min="12547" max="12547" width="22.125" customWidth="1"/>
    <col min="12548" max="12548" width="6.375" customWidth="1"/>
    <col min="12549" max="12549" width="4" customWidth="1"/>
    <col min="12550" max="12550" width="2.625" customWidth="1"/>
    <col min="12551" max="12551" width="9.25" customWidth="1"/>
    <col min="12552" max="12552" width="22.125" customWidth="1"/>
    <col min="12553" max="12553" width="6.375" customWidth="1"/>
    <col min="12554" max="12554" width="2.625" customWidth="1"/>
    <col min="12555" max="12555" width="3.625" customWidth="1"/>
    <col min="12556" max="12556" width="2.625" customWidth="1"/>
    <col min="12557" max="12557" width="10.625" customWidth="1"/>
    <col min="12558" max="12558" width="30.75" customWidth="1"/>
    <col min="12559" max="12559" width="2.625" customWidth="1"/>
    <col min="12560" max="12560" width="28.875" customWidth="1"/>
    <col min="12561" max="12561" width="10.75" customWidth="1"/>
    <col min="12801" max="12801" width="2.625" customWidth="1"/>
    <col min="12802" max="12802" width="9.25" customWidth="1"/>
    <col min="12803" max="12803" width="22.125" customWidth="1"/>
    <col min="12804" max="12804" width="6.375" customWidth="1"/>
    <col min="12805" max="12805" width="4" customWidth="1"/>
    <col min="12806" max="12806" width="2.625" customWidth="1"/>
    <col min="12807" max="12807" width="9.25" customWidth="1"/>
    <col min="12808" max="12808" width="22.125" customWidth="1"/>
    <col min="12809" max="12809" width="6.375" customWidth="1"/>
    <col min="12810" max="12810" width="2.625" customWidth="1"/>
    <col min="12811" max="12811" width="3.625" customWidth="1"/>
    <col min="12812" max="12812" width="2.625" customWidth="1"/>
    <col min="12813" max="12813" width="10.625" customWidth="1"/>
    <col min="12814" max="12814" width="30.75" customWidth="1"/>
    <col min="12815" max="12815" width="2.625" customWidth="1"/>
    <col min="12816" max="12816" width="28.875" customWidth="1"/>
    <col min="12817" max="12817" width="10.75" customWidth="1"/>
    <col min="13057" max="13057" width="2.625" customWidth="1"/>
    <col min="13058" max="13058" width="9.25" customWidth="1"/>
    <col min="13059" max="13059" width="22.125" customWidth="1"/>
    <col min="13060" max="13060" width="6.375" customWidth="1"/>
    <col min="13061" max="13061" width="4" customWidth="1"/>
    <col min="13062" max="13062" width="2.625" customWidth="1"/>
    <col min="13063" max="13063" width="9.25" customWidth="1"/>
    <col min="13064" max="13064" width="22.125" customWidth="1"/>
    <col min="13065" max="13065" width="6.375" customWidth="1"/>
    <col min="13066" max="13066" width="2.625" customWidth="1"/>
    <col min="13067" max="13067" width="3.625" customWidth="1"/>
    <col min="13068" max="13068" width="2.625" customWidth="1"/>
    <col min="13069" max="13069" width="10.625" customWidth="1"/>
    <col min="13070" max="13070" width="30.75" customWidth="1"/>
    <col min="13071" max="13071" width="2.625" customWidth="1"/>
    <col min="13072" max="13072" width="28.875" customWidth="1"/>
    <col min="13073" max="13073" width="10.75" customWidth="1"/>
    <col min="13313" max="13313" width="2.625" customWidth="1"/>
    <col min="13314" max="13314" width="9.25" customWidth="1"/>
    <col min="13315" max="13315" width="22.125" customWidth="1"/>
    <col min="13316" max="13316" width="6.375" customWidth="1"/>
    <col min="13317" max="13317" width="4" customWidth="1"/>
    <col min="13318" max="13318" width="2.625" customWidth="1"/>
    <col min="13319" max="13319" width="9.25" customWidth="1"/>
    <col min="13320" max="13320" width="22.125" customWidth="1"/>
    <col min="13321" max="13321" width="6.375" customWidth="1"/>
    <col min="13322" max="13322" width="2.625" customWidth="1"/>
    <col min="13323" max="13323" width="3.625" customWidth="1"/>
    <col min="13324" max="13324" width="2.625" customWidth="1"/>
    <col min="13325" max="13325" width="10.625" customWidth="1"/>
    <col min="13326" max="13326" width="30.75" customWidth="1"/>
    <col min="13327" max="13327" width="2.625" customWidth="1"/>
    <col min="13328" max="13328" width="28.875" customWidth="1"/>
    <col min="13329" max="13329" width="10.75" customWidth="1"/>
    <col min="13569" max="13569" width="2.625" customWidth="1"/>
    <col min="13570" max="13570" width="9.25" customWidth="1"/>
    <col min="13571" max="13571" width="22.125" customWidth="1"/>
    <col min="13572" max="13572" width="6.375" customWidth="1"/>
    <col min="13573" max="13573" width="4" customWidth="1"/>
    <col min="13574" max="13574" width="2.625" customWidth="1"/>
    <col min="13575" max="13575" width="9.25" customWidth="1"/>
    <col min="13576" max="13576" width="22.125" customWidth="1"/>
    <col min="13577" max="13577" width="6.375" customWidth="1"/>
    <col min="13578" max="13578" width="2.625" customWidth="1"/>
    <col min="13579" max="13579" width="3.625" customWidth="1"/>
    <col min="13580" max="13580" width="2.625" customWidth="1"/>
    <col min="13581" max="13581" width="10.625" customWidth="1"/>
    <col min="13582" max="13582" width="30.75" customWidth="1"/>
    <col min="13583" max="13583" width="2.625" customWidth="1"/>
    <col min="13584" max="13584" width="28.875" customWidth="1"/>
    <col min="13585" max="13585" width="10.75" customWidth="1"/>
    <col min="13825" max="13825" width="2.625" customWidth="1"/>
    <col min="13826" max="13826" width="9.25" customWidth="1"/>
    <col min="13827" max="13827" width="22.125" customWidth="1"/>
    <col min="13828" max="13828" width="6.375" customWidth="1"/>
    <col min="13829" max="13829" width="4" customWidth="1"/>
    <col min="13830" max="13830" width="2.625" customWidth="1"/>
    <col min="13831" max="13831" width="9.25" customWidth="1"/>
    <col min="13832" max="13832" width="22.125" customWidth="1"/>
    <col min="13833" max="13833" width="6.375" customWidth="1"/>
    <col min="13834" max="13834" width="2.625" customWidth="1"/>
    <col min="13835" max="13835" width="3.625" customWidth="1"/>
    <col min="13836" max="13836" width="2.625" customWidth="1"/>
    <col min="13837" max="13837" width="10.625" customWidth="1"/>
    <col min="13838" max="13838" width="30.75" customWidth="1"/>
    <col min="13839" max="13839" width="2.625" customWidth="1"/>
    <col min="13840" max="13840" width="28.875" customWidth="1"/>
    <col min="13841" max="13841" width="10.75" customWidth="1"/>
    <col min="14081" max="14081" width="2.625" customWidth="1"/>
    <col min="14082" max="14082" width="9.25" customWidth="1"/>
    <col min="14083" max="14083" width="22.125" customWidth="1"/>
    <col min="14084" max="14084" width="6.375" customWidth="1"/>
    <col min="14085" max="14085" width="4" customWidth="1"/>
    <col min="14086" max="14086" width="2.625" customWidth="1"/>
    <col min="14087" max="14087" width="9.25" customWidth="1"/>
    <col min="14088" max="14088" width="22.125" customWidth="1"/>
    <col min="14089" max="14089" width="6.375" customWidth="1"/>
    <col min="14090" max="14090" width="2.625" customWidth="1"/>
    <col min="14091" max="14091" width="3.625" customWidth="1"/>
    <col min="14092" max="14092" width="2.625" customWidth="1"/>
    <col min="14093" max="14093" width="10.625" customWidth="1"/>
    <col min="14094" max="14094" width="30.75" customWidth="1"/>
    <col min="14095" max="14095" width="2.625" customWidth="1"/>
    <col min="14096" max="14096" width="28.875" customWidth="1"/>
    <col min="14097" max="14097" width="10.75" customWidth="1"/>
    <col min="14337" max="14337" width="2.625" customWidth="1"/>
    <col min="14338" max="14338" width="9.25" customWidth="1"/>
    <col min="14339" max="14339" width="22.125" customWidth="1"/>
    <col min="14340" max="14340" width="6.375" customWidth="1"/>
    <col min="14341" max="14341" width="4" customWidth="1"/>
    <col min="14342" max="14342" width="2.625" customWidth="1"/>
    <col min="14343" max="14343" width="9.25" customWidth="1"/>
    <col min="14344" max="14344" width="22.125" customWidth="1"/>
    <col min="14345" max="14345" width="6.375" customWidth="1"/>
    <col min="14346" max="14346" width="2.625" customWidth="1"/>
    <col min="14347" max="14347" width="3.625" customWidth="1"/>
    <col min="14348" max="14348" width="2.625" customWidth="1"/>
    <col min="14349" max="14349" width="10.625" customWidth="1"/>
    <col min="14350" max="14350" width="30.75" customWidth="1"/>
    <col min="14351" max="14351" width="2.625" customWidth="1"/>
    <col min="14352" max="14352" width="28.875" customWidth="1"/>
    <col min="14353" max="14353" width="10.75" customWidth="1"/>
    <col min="14593" max="14593" width="2.625" customWidth="1"/>
    <col min="14594" max="14594" width="9.25" customWidth="1"/>
    <col min="14595" max="14595" width="22.125" customWidth="1"/>
    <col min="14596" max="14596" width="6.375" customWidth="1"/>
    <col min="14597" max="14597" width="4" customWidth="1"/>
    <col min="14598" max="14598" width="2.625" customWidth="1"/>
    <col min="14599" max="14599" width="9.25" customWidth="1"/>
    <col min="14600" max="14600" width="22.125" customWidth="1"/>
    <col min="14601" max="14601" width="6.375" customWidth="1"/>
    <col min="14602" max="14602" width="2.625" customWidth="1"/>
    <col min="14603" max="14603" width="3.625" customWidth="1"/>
    <col min="14604" max="14604" width="2.625" customWidth="1"/>
    <col min="14605" max="14605" width="10.625" customWidth="1"/>
    <col min="14606" max="14606" width="30.75" customWidth="1"/>
    <col min="14607" max="14607" width="2.625" customWidth="1"/>
    <col min="14608" max="14608" width="28.875" customWidth="1"/>
    <col min="14609" max="14609" width="10.75" customWidth="1"/>
    <col min="14849" max="14849" width="2.625" customWidth="1"/>
    <col min="14850" max="14850" width="9.25" customWidth="1"/>
    <col min="14851" max="14851" width="22.125" customWidth="1"/>
    <col min="14852" max="14852" width="6.375" customWidth="1"/>
    <col min="14853" max="14853" width="4" customWidth="1"/>
    <col min="14854" max="14854" width="2.625" customWidth="1"/>
    <col min="14855" max="14855" width="9.25" customWidth="1"/>
    <col min="14856" max="14856" width="22.125" customWidth="1"/>
    <col min="14857" max="14857" width="6.375" customWidth="1"/>
    <col min="14858" max="14858" width="2.625" customWidth="1"/>
    <col min="14859" max="14859" width="3.625" customWidth="1"/>
    <col min="14860" max="14860" width="2.625" customWidth="1"/>
    <col min="14861" max="14861" width="10.625" customWidth="1"/>
    <col min="14862" max="14862" width="30.75" customWidth="1"/>
    <col min="14863" max="14863" width="2.625" customWidth="1"/>
    <col min="14864" max="14864" width="28.875" customWidth="1"/>
    <col min="14865" max="14865" width="10.75" customWidth="1"/>
    <col min="15105" max="15105" width="2.625" customWidth="1"/>
    <col min="15106" max="15106" width="9.25" customWidth="1"/>
    <col min="15107" max="15107" width="22.125" customWidth="1"/>
    <col min="15108" max="15108" width="6.375" customWidth="1"/>
    <col min="15109" max="15109" width="4" customWidth="1"/>
    <col min="15110" max="15110" width="2.625" customWidth="1"/>
    <col min="15111" max="15111" width="9.25" customWidth="1"/>
    <col min="15112" max="15112" width="22.125" customWidth="1"/>
    <col min="15113" max="15113" width="6.375" customWidth="1"/>
    <col min="15114" max="15114" width="2.625" customWidth="1"/>
    <col min="15115" max="15115" width="3.625" customWidth="1"/>
    <col min="15116" max="15116" width="2.625" customWidth="1"/>
    <col min="15117" max="15117" width="10.625" customWidth="1"/>
    <col min="15118" max="15118" width="30.75" customWidth="1"/>
    <col min="15119" max="15119" width="2.625" customWidth="1"/>
    <col min="15120" max="15120" width="28.875" customWidth="1"/>
    <col min="15121" max="15121" width="10.75" customWidth="1"/>
    <col min="15361" max="15361" width="2.625" customWidth="1"/>
    <col min="15362" max="15362" width="9.25" customWidth="1"/>
    <col min="15363" max="15363" width="22.125" customWidth="1"/>
    <col min="15364" max="15364" width="6.375" customWidth="1"/>
    <col min="15365" max="15365" width="4" customWidth="1"/>
    <col min="15366" max="15366" width="2.625" customWidth="1"/>
    <col min="15367" max="15367" width="9.25" customWidth="1"/>
    <col min="15368" max="15368" width="22.125" customWidth="1"/>
    <col min="15369" max="15369" width="6.375" customWidth="1"/>
    <col min="15370" max="15370" width="2.625" customWidth="1"/>
    <col min="15371" max="15371" width="3.625" customWidth="1"/>
    <col min="15372" max="15372" width="2.625" customWidth="1"/>
    <col min="15373" max="15373" width="10.625" customWidth="1"/>
    <col min="15374" max="15374" width="30.75" customWidth="1"/>
    <col min="15375" max="15375" width="2.625" customWidth="1"/>
    <col min="15376" max="15376" width="28.875" customWidth="1"/>
    <col min="15377" max="15377" width="10.75" customWidth="1"/>
    <col min="15617" max="15617" width="2.625" customWidth="1"/>
    <col min="15618" max="15618" width="9.25" customWidth="1"/>
    <col min="15619" max="15619" width="22.125" customWidth="1"/>
    <col min="15620" max="15620" width="6.375" customWidth="1"/>
    <col min="15621" max="15621" width="4" customWidth="1"/>
    <col min="15622" max="15622" width="2.625" customWidth="1"/>
    <col min="15623" max="15623" width="9.25" customWidth="1"/>
    <col min="15624" max="15624" width="22.125" customWidth="1"/>
    <col min="15625" max="15625" width="6.375" customWidth="1"/>
    <col min="15626" max="15626" width="2.625" customWidth="1"/>
    <col min="15627" max="15627" width="3.625" customWidth="1"/>
    <col min="15628" max="15628" width="2.625" customWidth="1"/>
    <col min="15629" max="15629" width="10.625" customWidth="1"/>
    <col min="15630" max="15630" width="30.75" customWidth="1"/>
    <col min="15631" max="15631" width="2.625" customWidth="1"/>
    <col min="15632" max="15632" width="28.875" customWidth="1"/>
    <col min="15633" max="15633" width="10.75" customWidth="1"/>
    <col min="15873" max="15873" width="2.625" customWidth="1"/>
    <col min="15874" max="15874" width="9.25" customWidth="1"/>
    <col min="15875" max="15875" width="22.125" customWidth="1"/>
    <col min="15876" max="15876" width="6.375" customWidth="1"/>
    <col min="15877" max="15877" width="4" customWidth="1"/>
    <col min="15878" max="15878" width="2.625" customWidth="1"/>
    <col min="15879" max="15879" width="9.25" customWidth="1"/>
    <col min="15880" max="15880" width="22.125" customWidth="1"/>
    <col min="15881" max="15881" width="6.375" customWidth="1"/>
    <col min="15882" max="15882" width="2.625" customWidth="1"/>
    <col min="15883" max="15883" width="3.625" customWidth="1"/>
    <col min="15884" max="15884" width="2.625" customWidth="1"/>
    <col min="15885" max="15885" width="10.625" customWidth="1"/>
    <col min="15886" max="15886" width="30.75" customWidth="1"/>
    <col min="15887" max="15887" width="2.625" customWidth="1"/>
    <col min="15888" max="15888" width="28.875" customWidth="1"/>
    <col min="15889" max="15889" width="10.75" customWidth="1"/>
    <col min="16129" max="16129" width="2.625" customWidth="1"/>
    <col min="16130" max="16130" width="9.25" customWidth="1"/>
    <col min="16131" max="16131" width="22.125" customWidth="1"/>
    <col min="16132" max="16132" width="6.375" customWidth="1"/>
    <col min="16133" max="16133" width="4" customWidth="1"/>
    <col min="16134" max="16134" width="2.625" customWidth="1"/>
    <col min="16135" max="16135" width="9.25" customWidth="1"/>
    <col min="16136" max="16136" width="22.125" customWidth="1"/>
    <col min="16137" max="16137" width="6.375" customWidth="1"/>
    <col min="16138" max="16138" width="2.625" customWidth="1"/>
    <col min="16139" max="16139" width="3.625" customWidth="1"/>
    <col min="16140" max="16140" width="2.625" customWidth="1"/>
    <col min="16141" max="16141" width="10.625" customWidth="1"/>
    <col min="16142" max="16142" width="30.75" customWidth="1"/>
    <col min="16143" max="16143" width="2.625" customWidth="1"/>
    <col min="16144" max="16144" width="28.875" customWidth="1"/>
    <col min="16145" max="16145" width="10.75" customWidth="1"/>
  </cols>
  <sheetData>
    <row r="1" spans="2:17" ht="4.5" customHeight="1" x14ac:dyDescent="0.4">
      <c r="L1" s="79"/>
      <c r="M1" s="80"/>
      <c r="N1" s="81"/>
      <c r="O1" s="80"/>
      <c r="P1" s="82"/>
      <c r="Q1" s="81"/>
    </row>
    <row r="2" spans="2:17" ht="15" customHeight="1" x14ac:dyDescent="0.4">
      <c r="B2" s="330"/>
      <c r="C2" s="330"/>
      <c r="D2" s="330"/>
      <c r="G2" s="330"/>
      <c r="H2" s="330"/>
      <c r="I2" s="330"/>
      <c r="L2" s="79"/>
      <c r="M2" s="83" t="s">
        <v>215</v>
      </c>
      <c r="N2" s="79"/>
      <c r="O2" s="83" t="s">
        <v>210</v>
      </c>
      <c r="P2" s="77" t="s">
        <v>216</v>
      </c>
      <c r="Q2" s="79"/>
    </row>
    <row r="3" spans="2:17" ht="15" customHeight="1" x14ac:dyDescent="0.4">
      <c r="B3" s="331" t="e">
        <f>"〒"&amp;(IF(VLOOKUP(基本情報入力!$B$15,基本情報入力!$A$23:$K$35,7,FALSE)="","",VLOOKUP(基本情報入力!$B$15,基本情報入力!$A$23:$K$35,7,FALSE)))</f>
        <v>#N/A</v>
      </c>
      <c r="C3" s="331"/>
      <c r="D3" s="331"/>
      <c r="G3" s="331" t="e">
        <f>$B$3</f>
        <v>#N/A</v>
      </c>
      <c r="H3" s="331"/>
      <c r="I3" s="331"/>
      <c r="L3" s="79"/>
      <c r="M3" s="332" t="s">
        <v>217</v>
      </c>
      <c r="N3" s="333"/>
      <c r="O3" s="83"/>
      <c r="P3" s="77" t="s">
        <v>218</v>
      </c>
      <c r="Q3" s="79"/>
    </row>
    <row r="4" spans="2:17" ht="15" customHeight="1" x14ac:dyDescent="0.4">
      <c r="L4" s="79"/>
      <c r="M4" s="334"/>
      <c r="N4" s="333"/>
      <c r="O4" s="83"/>
      <c r="P4" s="77" t="s">
        <v>219</v>
      </c>
      <c r="Q4" s="79"/>
    </row>
    <row r="5" spans="2:17" ht="15" customHeight="1" x14ac:dyDescent="0.4">
      <c r="B5" s="331" t="e">
        <f>IF(VLOOKUP(基本情報入力!$B$15,基本情報入力!$A$23:$K$35,8,FALSE)="","",VLOOKUP(基本情報入力!$B$15,基本情報入力!$A$23:$K$35,8,FALSE))</f>
        <v>#N/A</v>
      </c>
      <c r="C5" s="331"/>
      <c r="D5" s="331"/>
      <c r="G5" s="331" t="e">
        <f>$B$5</f>
        <v>#N/A</v>
      </c>
      <c r="H5" s="331"/>
      <c r="I5" s="331"/>
      <c r="L5" s="79"/>
      <c r="M5" s="334"/>
      <c r="N5" s="333"/>
      <c r="O5" s="83"/>
      <c r="P5" s="77" t="s">
        <v>220</v>
      </c>
      <c r="Q5" s="79"/>
    </row>
    <row r="6" spans="2:17" ht="15" customHeight="1" x14ac:dyDescent="0.4">
      <c r="B6" s="331" t="e">
        <f>IF(VLOOKUP(基本情報入力!$B$15,基本情報入力!$A$23:$K$35,9,FALSE)="","",VLOOKUP(基本情報入力!$B$15,基本情報入力!$A$23:$K$35,9,FALSE))</f>
        <v>#N/A</v>
      </c>
      <c r="C6" s="335"/>
      <c r="D6" s="335"/>
      <c r="E6" s="335"/>
      <c r="G6" s="331" t="e">
        <f>$B$6</f>
        <v>#N/A</v>
      </c>
      <c r="H6" s="335"/>
      <c r="I6" s="335"/>
      <c r="J6" s="335"/>
      <c r="L6" s="79"/>
      <c r="M6" s="334"/>
      <c r="N6" s="333"/>
      <c r="O6" s="83"/>
      <c r="P6" s="77" t="s">
        <v>221</v>
      </c>
      <c r="Q6" s="79"/>
    </row>
    <row r="7" spans="2:17" ht="15" customHeight="1" x14ac:dyDescent="0.4">
      <c r="B7" s="336" t="e">
        <f>IF(VLOOKUP(基本情報入力!$B$15,基本情報入力!$A$23:$K$35,3,FALSE)="","",VLOOKUP(基本情報入力!$B$15,基本情報入力!$A$23:$K$35,3,FALSE))&amp;"　様"</f>
        <v>#N/A</v>
      </c>
      <c r="C7" s="336"/>
      <c r="D7" s="337"/>
      <c r="G7" s="336" t="e">
        <f>$B$7</f>
        <v>#N/A</v>
      </c>
      <c r="H7" s="336"/>
      <c r="I7" s="337"/>
      <c r="L7" s="79"/>
      <c r="M7" s="334"/>
      <c r="N7" s="333"/>
      <c r="O7" s="83"/>
      <c r="P7" s="77" t="s">
        <v>222</v>
      </c>
      <c r="Q7" s="79"/>
    </row>
    <row r="8" spans="2:17" ht="15" customHeight="1" x14ac:dyDescent="0.4">
      <c r="B8" s="336"/>
      <c r="C8" s="336"/>
      <c r="D8" s="337"/>
      <c r="G8" s="336"/>
      <c r="H8" s="336"/>
      <c r="I8" s="337"/>
      <c r="L8" s="79"/>
      <c r="M8" s="334"/>
      <c r="N8" s="333"/>
      <c r="O8" s="83"/>
      <c r="Q8" s="79"/>
    </row>
    <row r="9" spans="2:17" ht="15" customHeight="1" x14ac:dyDescent="0.4">
      <c r="B9" s="84"/>
      <c r="C9" s="338" t="e">
        <f>"TEL："&amp;(IF(VLOOKUP(基本情報入力!$B$15,基本情報入力!$A$23:$K$35,10,FALSE)="","",VLOOKUP(基本情報入力!$B$15,基本情報入力!$A$23:$K$35,10,FALSE)))</f>
        <v>#N/A</v>
      </c>
      <c r="D9" s="338"/>
      <c r="G9" s="84"/>
      <c r="H9" s="338" t="e">
        <f>$C$9</f>
        <v>#N/A</v>
      </c>
      <c r="I9" s="338"/>
      <c r="L9" s="79"/>
      <c r="M9" s="83"/>
      <c r="N9" s="79"/>
      <c r="O9" s="83"/>
      <c r="Q9" s="79"/>
    </row>
    <row r="10" spans="2:17" ht="5.25" customHeight="1" thickBot="1" x14ac:dyDescent="0.45">
      <c r="K10" s="85"/>
      <c r="L10" s="79"/>
      <c r="M10" s="86"/>
      <c r="N10" s="87"/>
      <c r="O10" s="86"/>
      <c r="P10" s="88"/>
      <c r="Q10" s="87"/>
    </row>
    <row r="11" spans="2:17" ht="5.25" customHeight="1" x14ac:dyDescent="0.4">
      <c r="K11" s="89"/>
      <c r="L11" s="79"/>
      <c r="M11" s="80"/>
      <c r="N11" s="81"/>
      <c r="O11" s="80"/>
      <c r="P11" s="82"/>
      <c r="Q11" s="81"/>
    </row>
    <row r="12" spans="2:17" ht="15" customHeight="1" thickBot="1" x14ac:dyDescent="0.45">
      <c r="B12" s="330"/>
      <c r="C12" s="330"/>
      <c r="D12" s="330"/>
      <c r="G12" s="330"/>
      <c r="H12" s="330"/>
      <c r="I12" s="330"/>
      <c r="L12" s="79"/>
      <c r="M12" s="83" t="s">
        <v>211</v>
      </c>
      <c r="N12" s="79"/>
      <c r="O12" s="83"/>
      <c r="Q12" s="79"/>
    </row>
    <row r="13" spans="2:17" ht="15" customHeight="1" x14ac:dyDescent="0.4">
      <c r="B13" s="331" t="e">
        <f>$B$3</f>
        <v>#N/A</v>
      </c>
      <c r="C13" s="331"/>
      <c r="D13" s="331"/>
      <c r="G13" s="331" t="e">
        <f>$B$3</f>
        <v>#N/A</v>
      </c>
      <c r="H13" s="331"/>
      <c r="I13" s="331"/>
      <c r="L13" s="79"/>
      <c r="M13" s="83"/>
      <c r="N13" s="339" t="s">
        <v>223</v>
      </c>
      <c r="O13" s="340"/>
      <c r="P13" s="341"/>
      <c r="Q13" s="79"/>
    </row>
    <row r="14" spans="2:17" ht="15" customHeight="1" x14ac:dyDescent="0.4">
      <c r="L14" s="79"/>
      <c r="M14" s="83"/>
      <c r="N14" s="342"/>
      <c r="O14" s="343"/>
      <c r="P14" s="344"/>
      <c r="Q14" s="79"/>
    </row>
    <row r="15" spans="2:17" ht="15" customHeight="1" x14ac:dyDescent="0.4">
      <c r="B15" s="331" t="e">
        <f>$B$5</f>
        <v>#N/A</v>
      </c>
      <c r="C15" s="331"/>
      <c r="D15" s="331"/>
      <c r="G15" s="331" t="e">
        <f>$B$5</f>
        <v>#N/A</v>
      </c>
      <c r="H15" s="331"/>
      <c r="I15" s="331"/>
      <c r="L15" s="79"/>
      <c r="M15" s="83"/>
      <c r="N15" s="342"/>
      <c r="O15" s="343"/>
      <c r="P15" s="344"/>
      <c r="Q15" s="79"/>
    </row>
    <row r="16" spans="2:17" ht="15" customHeight="1" x14ac:dyDescent="0.4">
      <c r="B16" s="331" t="e">
        <f>$B$6</f>
        <v>#N/A</v>
      </c>
      <c r="C16" s="335"/>
      <c r="D16" s="335"/>
      <c r="E16" s="335"/>
      <c r="G16" s="331" t="e">
        <f>$B$6</f>
        <v>#N/A</v>
      </c>
      <c r="H16" s="335"/>
      <c r="I16" s="335"/>
      <c r="J16" s="335"/>
      <c r="L16" s="79"/>
      <c r="M16" s="83"/>
      <c r="N16" s="342"/>
      <c r="O16" s="343"/>
      <c r="P16" s="344"/>
      <c r="Q16" s="79"/>
    </row>
    <row r="17" spans="2:17" ht="15" customHeight="1" x14ac:dyDescent="0.4">
      <c r="B17" s="336" t="e">
        <f>$B$7</f>
        <v>#N/A</v>
      </c>
      <c r="C17" s="336"/>
      <c r="D17" s="337"/>
      <c r="G17" s="336" t="e">
        <f>$B$7</f>
        <v>#N/A</v>
      </c>
      <c r="H17" s="336"/>
      <c r="I17" s="337"/>
      <c r="L17" s="79"/>
      <c r="M17" s="83"/>
      <c r="N17" s="342"/>
      <c r="O17" s="343"/>
      <c r="P17" s="344"/>
      <c r="Q17" s="79"/>
    </row>
    <row r="18" spans="2:17" ht="15" customHeight="1" x14ac:dyDescent="0.4">
      <c r="B18" s="336"/>
      <c r="C18" s="336"/>
      <c r="D18" s="337"/>
      <c r="G18" s="336"/>
      <c r="H18" s="336"/>
      <c r="I18" s="337"/>
      <c r="L18" s="79"/>
      <c r="M18" s="83"/>
      <c r="N18" s="342"/>
      <c r="O18" s="343"/>
      <c r="P18" s="344"/>
      <c r="Q18" s="79"/>
    </row>
    <row r="19" spans="2:17" ht="15" customHeight="1" x14ac:dyDescent="0.4">
      <c r="B19" s="84"/>
      <c r="C19" s="338" t="e">
        <f>$C$9</f>
        <v>#N/A</v>
      </c>
      <c r="D19" s="338"/>
      <c r="G19" s="84"/>
      <c r="H19" s="338" t="e">
        <f>$C$9</f>
        <v>#N/A</v>
      </c>
      <c r="I19" s="338"/>
      <c r="L19" s="79"/>
      <c r="M19" s="83"/>
      <c r="N19" s="342"/>
      <c r="O19" s="343"/>
      <c r="P19" s="344"/>
      <c r="Q19" s="79"/>
    </row>
    <row r="20" spans="2:17" ht="5.25" customHeight="1" thickBot="1" x14ac:dyDescent="0.45">
      <c r="K20" s="85"/>
      <c r="L20" s="79"/>
      <c r="M20" s="86"/>
      <c r="N20" s="342"/>
      <c r="O20" s="343"/>
      <c r="P20" s="344"/>
      <c r="Q20" s="87"/>
    </row>
    <row r="21" spans="2:17" ht="5.25" customHeight="1" x14ac:dyDescent="0.4">
      <c r="K21" s="89"/>
      <c r="L21" s="79"/>
      <c r="M21" s="80"/>
      <c r="N21" s="342"/>
      <c r="O21" s="343"/>
      <c r="P21" s="344"/>
      <c r="Q21" s="81"/>
    </row>
    <row r="22" spans="2:17" ht="15" customHeight="1" x14ac:dyDescent="0.4">
      <c r="B22" s="330"/>
      <c r="C22" s="330"/>
      <c r="D22" s="330"/>
      <c r="G22" s="330"/>
      <c r="H22" s="330"/>
      <c r="I22" s="330"/>
      <c r="L22" s="79"/>
      <c r="M22" s="83"/>
      <c r="N22" s="342"/>
      <c r="O22" s="343"/>
      <c r="P22" s="344"/>
      <c r="Q22" s="79"/>
    </row>
    <row r="23" spans="2:17" ht="15" customHeight="1" x14ac:dyDescent="0.4">
      <c r="B23" s="331" t="e">
        <f>$B$3</f>
        <v>#N/A</v>
      </c>
      <c r="C23" s="331"/>
      <c r="D23" s="331"/>
      <c r="G23" s="331" t="e">
        <f>$B$3</f>
        <v>#N/A</v>
      </c>
      <c r="H23" s="331"/>
      <c r="I23" s="331"/>
      <c r="L23" s="79"/>
      <c r="M23" s="83"/>
      <c r="N23" s="342"/>
      <c r="O23" s="343"/>
      <c r="P23" s="344"/>
      <c r="Q23" s="79"/>
    </row>
    <row r="24" spans="2:17" ht="15" customHeight="1" x14ac:dyDescent="0.4">
      <c r="L24" s="79"/>
      <c r="M24" s="83"/>
      <c r="N24" s="342"/>
      <c r="O24" s="343"/>
      <c r="P24" s="344"/>
      <c r="Q24" s="79"/>
    </row>
    <row r="25" spans="2:17" ht="15" customHeight="1" x14ac:dyDescent="0.4">
      <c r="B25" s="331" t="e">
        <f>$B$5</f>
        <v>#N/A</v>
      </c>
      <c r="C25" s="331"/>
      <c r="D25" s="331"/>
      <c r="G25" s="331" t="e">
        <f>$B$5</f>
        <v>#N/A</v>
      </c>
      <c r="H25" s="331"/>
      <c r="I25" s="331"/>
      <c r="L25" s="79"/>
      <c r="M25" s="83"/>
      <c r="N25" s="342"/>
      <c r="O25" s="343"/>
      <c r="P25" s="344"/>
      <c r="Q25" s="79"/>
    </row>
    <row r="26" spans="2:17" ht="15" customHeight="1" x14ac:dyDescent="0.4">
      <c r="B26" s="331" t="e">
        <f>$B$6</f>
        <v>#N/A</v>
      </c>
      <c r="C26" s="335"/>
      <c r="D26" s="335"/>
      <c r="E26" s="335"/>
      <c r="G26" s="331" t="e">
        <f>$B$6</f>
        <v>#N/A</v>
      </c>
      <c r="H26" s="335"/>
      <c r="I26" s="335"/>
      <c r="J26" s="335"/>
      <c r="L26" s="79"/>
      <c r="M26" s="83"/>
      <c r="N26" s="342"/>
      <c r="O26" s="343"/>
      <c r="P26" s="344"/>
      <c r="Q26" s="79"/>
    </row>
    <row r="27" spans="2:17" ht="15" customHeight="1" thickBot="1" x14ac:dyDescent="0.45">
      <c r="B27" s="336" t="e">
        <f>$B$7</f>
        <v>#N/A</v>
      </c>
      <c r="C27" s="336"/>
      <c r="D27" s="337"/>
      <c r="G27" s="336" t="e">
        <f>$B$7</f>
        <v>#N/A</v>
      </c>
      <c r="H27" s="336"/>
      <c r="I27" s="337"/>
      <c r="L27" s="79"/>
      <c r="M27" s="83"/>
      <c r="N27" s="345"/>
      <c r="O27" s="346"/>
      <c r="P27" s="347"/>
      <c r="Q27" s="79"/>
    </row>
    <row r="28" spans="2:17" ht="15" customHeight="1" x14ac:dyDescent="0.4">
      <c r="B28" s="336"/>
      <c r="C28" s="336"/>
      <c r="D28" s="337"/>
      <c r="G28" s="336"/>
      <c r="H28" s="336"/>
      <c r="I28" s="337"/>
      <c r="L28" s="79"/>
      <c r="M28" s="83"/>
      <c r="N28" s="79"/>
      <c r="O28" s="83"/>
      <c r="Q28" s="79"/>
    </row>
    <row r="29" spans="2:17" ht="15" customHeight="1" x14ac:dyDescent="0.4">
      <c r="B29" s="84"/>
      <c r="C29" s="338" t="e">
        <f>$C$9</f>
        <v>#N/A</v>
      </c>
      <c r="D29" s="338"/>
      <c r="G29" s="84"/>
      <c r="H29" s="338" t="e">
        <f>$C$9</f>
        <v>#N/A</v>
      </c>
      <c r="I29" s="338"/>
      <c r="L29" s="79"/>
      <c r="M29" s="83"/>
      <c r="N29" s="79"/>
      <c r="O29" s="83"/>
      <c r="Q29" s="79"/>
    </row>
    <row r="30" spans="2:17" ht="5.25" customHeight="1" thickBot="1" x14ac:dyDescent="0.45">
      <c r="K30" s="85"/>
      <c r="L30" s="79"/>
      <c r="M30" s="86"/>
      <c r="N30" s="87"/>
      <c r="O30" s="86"/>
      <c r="P30" s="88"/>
      <c r="Q30" s="87"/>
    </row>
    <row r="31" spans="2:17" ht="5.25" customHeight="1" x14ac:dyDescent="0.4">
      <c r="K31" s="89"/>
      <c r="L31" s="79"/>
      <c r="M31" s="80"/>
      <c r="N31" s="81"/>
      <c r="O31" s="80"/>
      <c r="P31" s="82"/>
      <c r="Q31" s="81"/>
    </row>
    <row r="32" spans="2:17" ht="15" customHeight="1" x14ac:dyDescent="0.4">
      <c r="B32" s="330"/>
      <c r="C32" s="330"/>
      <c r="D32" s="330"/>
      <c r="G32" s="330"/>
      <c r="H32" s="330"/>
      <c r="I32" s="330"/>
      <c r="L32" s="79"/>
      <c r="M32" s="83"/>
      <c r="N32" s="79"/>
      <c r="O32" s="83"/>
      <c r="Q32" s="79"/>
    </row>
    <row r="33" spans="2:17" ht="15" customHeight="1" x14ac:dyDescent="0.4">
      <c r="B33" s="331" t="e" cm="1">
        <f t="array" ref="B33">"〒"&amp;(_xlfn.IFS(基本情報入力!$B$16="",VLOOKUP(基本情報入力!$B$12,基本情報入力!$N$72:$S$107,2,FALSE),基本情報入力!$B$16&lt;&gt;"",VLOOKUP(基本情報入力!$B$16,基本情報入力!$A$23:$K$35,7,FALSE)))</f>
        <v>#N/A</v>
      </c>
      <c r="C33" s="331"/>
      <c r="D33" s="331"/>
      <c r="G33" s="331" t="e">
        <f>$B$33</f>
        <v>#N/A</v>
      </c>
      <c r="H33" s="331"/>
      <c r="I33" s="331"/>
      <c r="L33" s="79"/>
      <c r="M33" s="83"/>
      <c r="N33" s="79"/>
      <c r="O33" s="83"/>
      <c r="Q33" s="79"/>
    </row>
    <row r="34" spans="2:17" ht="15" customHeight="1" x14ac:dyDescent="0.4">
      <c r="L34" s="79"/>
      <c r="M34" s="83"/>
      <c r="N34" s="79"/>
      <c r="O34" s="83"/>
      <c r="Q34" s="79"/>
    </row>
    <row r="35" spans="2:17" ht="15" customHeight="1" x14ac:dyDescent="0.4">
      <c r="B35" s="331" t="e" cm="1">
        <f t="array" ref="B35">_xlfn.IFS(基本情報入力!$B$16="",VLOOKUP(基本情報入力!$B$12,基本情報入力!$N$72:$S$107,3,FALSE),基本情報入力!$B$16&lt;&gt;"",VLOOKUP(基本情報入力!$B$16,基本情報入力!$A$23:$K$35,8,FALSE))</f>
        <v>#N/A</v>
      </c>
      <c r="C35" s="331"/>
      <c r="D35" s="331"/>
      <c r="G35" s="331" t="e">
        <f>$B$35</f>
        <v>#N/A</v>
      </c>
      <c r="H35" s="331"/>
      <c r="I35" s="331"/>
      <c r="L35" s="79"/>
      <c r="M35" s="83"/>
      <c r="N35" s="79"/>
      <c r="O35" s="83"/>
      <c r="Q35" s="79"/>
    </row>
    <row r="36" spans="2:17" ht="15" customHeight="1" x14ac:dyDescent="0.4">
      <c r="B36" s="331" t="e">
        <f>IF($M$36=0,"",$M$36)</f>
        <v>#N/A</v>
      </c>
      <c r="C36" s="335"/>
      <c r="D36" s="335"/>
      <c r="E36" s="335"/>
      <c r="G36" s="331" t="e">
        <f>$B$36</f>
        <v>#N/A</v>
      </c>
      <c r="H36" s="335"/>
      <c r="I36" s="335"/>
      <c r="J36" s="335"/>
      <c r="L36" s="79"/>
      <c r="M36" s="234" t="e" cm="1">
        <f t="array" ref="M36">_xlfn.IFS(基本情報入力!$B$16="",VLOOKUP(基本情報入力!$B$12,基本情報入力!$N$72:$S$107,4,FALSE),基本情報入力!$B$16&lt;&gt;"",VLOOKUP(基本情報入力!$B$16,基本情報入力!$A$23:$K$35,9,FALSE),TRUE,"")</f>
        <v>#N/A</v>
      </c>
      <c r="N36" s="79"/>
      <c r="O36" s="83"/>
      <c r="Q36" s="79"/>
    </row>
    <row r="37" spans="2:17" ht="15" customHeight="1" x14ac:dyDescent="0.4">
      <c r="B37" s="336" t="str" cm="1">
        <f t="array" ref="B37">_xlfn.IFS(基本情報入力!$B$16="","行政書士法人チェスター",基本情報入力!$B$16&lt;&gt;"",VLOOKUP(基本情報入力!$B$16,基本情報入力!$A$23:$K$35,3,FALSE)&amp;"　様")</f>
        <v>行政書士法人チェスター</v>
      </c>
      <c r="C37" s="336"/>
      <c r="D37" s="337"/>
      <c r="G37" s="336" t="str">
        <f>$B$37</f>
        <v>行政書士法人チェスター</v>
      </c>
      <c r="H37" s="336"/>
      <c r="I37" s="337"/>
      <c r="L37" s="79"/>
      <c r="M37" s="83"/>
      <c r="N37" s="79"/>
      <c r="O37" s="83"/>
      <c r="Q37" s="79"/>
    </row>
    <row r="38" spans="2:17" ht="15" customHeight="1" x14ac:dyDescent="0.4">
      <c r="B38" s="336"/>
      <c r="C38" s="336"/>
      <c r="D38" s="337"/>
      <c r="G38" s="336"/>
      <c r="H38" s="336"/>
      <c r="I38" s="337"/>
      <c r="L38" s="79"/>
      <c r="M38" s="83"/>
      <c r="N38" s="79"/>
      <c r="O38" s="83"/>
      <c r="Q38" s="79"/>
    </row>
    <row r="39" spans="2:17" ht="15" customHeight="1" x14ac:dyDescent="0.4">
      <c r="B39" s="84"/>
      <c r="C39" s="338" t="e">
        <f>"TEL："&amp;(IF(基本情報入力!$B$16="",送付状!$W$12,VLOOKUP(基本情報入力!$B$16,基本情報入力!$A$23:$K$35,10,FALSE)))</f>
        <v>#N/A</v>
      </c>
      <c r="D39" s="338"/>
      <c r="G39" s="84"/>
      <c r="H39" s="338" t="e">
        <f>$C$39</f>
        <v>#N/A</v>
      </c>
      <c r="I39" s="338"/>
      <c r="L39" s="79"/>
      <c r="M39" s="83"/>
      <c r="N39" s="79"/>
      <c r="O39" s="83"/>
      <c r="Q39" s="79"/>
    </row>
    <row r="40" spans="2:17" ht="5.25" customHeight="1" thickBot="1" x14ac:dyDescent="0.45">
      <c r="K40" s="85"/>
      <c r="L40" s="79"/>
      <c r="M40" s="86"/>
      <c r="N40" s="87"/>
      <c r="O40" s="86"/>
      <c r="P40" s="88"/>
      <c r="Q40" s="87"/>
    </row>
    <row r="41" spans="2:17" ht="5.25" customHeight="1" x14ac:dyDescent="0.4">
      <c r="K41" s="89"/>
      <c r="L41" s="79"/>
      <c r="M41" s="80"/>
      <c r="N41" s="81"/>
      <c r="O41" s="80"/>
      <c r="P41" s="82"/>
      <c r="Q41" s="81"/>
    </row>
    <row r="42" spans="2:17" ht="15" customHeight="1" x14ac:dyDescent="0.4">
      <c r="B42" s="330"/>
      <c r="C42" s="330"/>
      <c r="D42" s="330"/>
      <c r="G42" s="330"/>
      <c r="H42" s="330"/>
      <c r="I42" s="330"/>
      <c r="L42" s="79"/>
      <c r="M42" s="83"/>
      <c r="N42" s="79"/>
      <c r="O42" s="83"/>
      <c r="Q42" s="79"/>
    </row>
    <row r="43" spans="2:17" ht="15" customHeight="1" x14ac:dyDescent="0.4">
      <c r="B43" s="331" t="e">
        <f>$B$33</f>
        <v>#N/A</v>
      </c>
      <c r="C43" s="331"/>
      <c r="D43" s="331"/>
      <c r="G43" s="331" t="e">
        <f>$B$33</f>
        <v>#N/A</v>
      </c>
      <c r="H43" s="331"/>
      <c r="I43" s="331"/>
      <c r="L43" s="79"/>
      <c r="M43" s="83"/>
      <c r="N43" s="79"/>
      <c r="O43" s="83"/>
      <c r="Q43" s="79"/>
    </row>
    <row r="44" spans="2:17" ht="15" customHeight="1" x14ac:dyDescent="0.4">
      <c r="L44" s="79"/>
      <c r="M44" s="83"/>
      <c r="N44" s="79"/>
      <c r="O44" s="83"/>
      <c r="Q44" s="79"/>
    </row>
    <row r="45" spans="2:17" ht="15" customHeight="1" x14ac:dyDescent="0.4">
      <c r="B45" s="331" t="e">
        <f>$B$35</f>
        <v>#N/A</v>
      </c>
      <c r="C45" s="331"/>
      <c r="D45" s="331"/>
      <c r="G45" s="331" t="e">
        <f>$B$35</f>
        <v>#N/A</v>
      </c>
      <c r="H45" s="331"/>
      <c r="I45" s="331"/>
      <c r="L45" s="79"/>
      <c r="M45" s="83"/>
      <c r="N45" s="79"/>
      <c r="O45" s="83"/>
      <c r="Q45" s="79"/>
    </row>
    <row r="46" spans="2:17" ht="15" customHeight="1" x14ac:dyDescent="0.4">
      <c r="B46" s="331" t="e">
        <f>$B$36</f>
        <v>#N/A</v>
      </c>
      <c r="C46" s="335"/>
      <c r="D46" s="335"/>
      <c r="E46" s="335"/>
      <c r="G46" s="331" t="e">
        <f>$B$36</f>
        <v>#N/A</v>
      </c>
      <c r="H46" s="335"/>
      <c r="I46" s="335"/>
      <c r="J46" s="335"/>
      <c r="L46" s="79"/>
      <c r="M46" s="83"/>
      <c r="N46" s="79"/>
      <c r="O46" s="83"/>
      <c r="Q46" s="79"/>
    </row>
    <row r="47" spans="2:17" ht="15" customHeight="1" x14ac:dyDescent="0.4">
      <c r="B47" s="336" t="str">
        <f>$B$37</f>
        <v>行政書士法人チェスター</v>
      </c>
      <c r="C47" s="336"/>
      <c r="D47" s="337"/>
      <c r="G47" s="336" t="str">
        <f>$B$37</f>
        <v>行政書士法人チェスター</v>
      </c>
      <c r="H47" s="336"/>
      <c r="I47" s="337"/>
      <c r="L47" s="79"/>
      <c r="M47" s="83"/>
      <c r="N47" s="79"/>
      <c r="O47" s="83"/>
      <c r="Q47" s="79"/>
    </row>
    <row r="48" spans="2:17" ht="15" customHeight="1" x14ac:dyDescent="0.4">
      <c r="B48" s="336"/>
      <c r="C48" s="336"/>
      <c r="D48" s="337"/>
      <c r="G48" s="336"/>
      <c r="H48" s="336"/>
      <c r="I48" s="337"/>
      <c r="L48" s="79"/>
      <c r="M48" s="83"/>
      <c r="N48" s="79"/>
      <c r="O48" s="83"/>
      <c r="Q48" s="79"/>
    </row>
    <row r="49" spans="2:17" ht="15" customHeight="1" x14ac:dyDescent="0.4">
      <c r="B49" s="84"/>
      <c r="C49" s="338" t="e">
        <f>$C$39</f>
        <v>#N/A</v>
      </c>
      <c r="D49" s="338"/>
      <c r="G49" s="84"/>
      <c r="H49" s="338" t="e">
        <f>$C$39</f>
        <v>#N/A</v>
      </c>
      <c r="I49" s="338"/>
      <c r="L49" s="79"/>
      <c r="M49" s="83"/>
      <c r="N49" s="79"/>
      <c r="O49" s="83"/>
      <c r="Q49" s="79"/>
    </row>
    <row r="50" spans="2:17" ht="5.25" customHeight="1" thickBot="1" x14ac:dyDescent="0.45">
      <c r="K50" s="85"/>
      <c r="L50" s="79"/>
      <c r="M50" s="86"/>
      <c r="N50" s="87"/>
      <c r="O50" s="86"/>
      <c r="P50" s="88"/>
      <c r="Q50" s="87"/>
    </row>
    <row r="51" spans="2:17" ht="5.25" customHeight="1" x14ac:dyDescent="0.4">
      <c r="K51" s="89"/>
      <c r="M51" s="80"/>
      <c r="N51" s="81"/>
      <c r="O51" s="80"/>
      <c r="P51" s="82"/>
      <c r="Q51" s="81"/>
    </row>
    <row r="52" spans="2:17" ht="15" customHeight="1" x14ac:dyDescent="0.4">
      <c r="B52" s="330"/>
      <c r="C52" s="330"/>
      <c r="D52" s="330"/>
      <c r="G52" s="330"/>
      <c r="H52" s="330"/>
      <c r="I52" s="330"/>
      <c r="M52" s="83"/>
      <c r="N52" s="79"/>
      <c r="O52" s="83"/>
      <c r="Q52" s="79"/>
    </row>
    <row r="53" spans="2:17" ht="15" customHeight="1" x14ac:dyDescent="0.4">
      <c r="B53" s="331" t="e">
        <f>$B$33</f>
        <v>#N/A</v>
      </c>
      <c r="C53" s="331"/>
      <c r="D53" s="331"/>
      <c r="G53" s="331" t="e">
        <f>$B$33</f>
        <v>#N/A</v>
      </c>
      <c r="H53" s="331"/>
      <c r="I53" s="331"/>
      <c r="M53" s="83"/>
      <c r="N53" s="79"/>
      <c r="O53" s="83"/>
      <c r="Q53" s="79"/>
    </row>
    <row r="54" spans="2:17" ht="15" customHeight="1" x14ac:dyDescent="0.4">
      <c r="M54" s="83"/>
      <c r="N54" s="79"/>
      <c r="O54" s="83"/>
      <c r="Q54" s="79"/>
    </row>
    <row r="55" spans="2:17" ht="15" customHeight="1" x14ac:dyDescent="0.4">
      <c r="B55" s="331" t="e">
        <f>$B$35</f>
        <v>#N/A</v>
      </c>
      <c r="C55" s="331"/>
      <c r="D55" s="331"/>
      <c r="G55" s="331" t="e">
        <f>$B$35</f>
        <v>#N/A</v>
      </c>
      <c r="H55" s="331"/>
      <c r="I55" s="331"/>
      <c r="M55" s="83"/>
      <c r="N55" s="79"/>
      <c r="O55" s="83"/>
      <c r="Q55" s="79"/>
    </row>
    <row r="56" spans="2:17" ht="15" customHeight="1" x14ac:dyDescent="0.4">
      <c r="B56" s="331" t="e">
        <f>$B$36</f>
        <v>#N/A</v>
      </c>
      <c r="C56" s="335"/>
      <c r="D56" s="335"/>
      <c r="E56" s="335"/>
      <c r="G56" s="331" t="e">
        <f>$B$36</f>
        <v>#N/A</v>
      </c>
      <c r="H56" s="335"/>
      <c r="I56" s="335"/>
      <c r="J56" s="335"/>
      <c r="M56" s="83"/>
      <c r="N56" s="79"/>
      <c r="O56" s="83"/>
      <c r="Q56" s="79"/>
    </row>
    <row r="57" spans="2:17" ht="15" customHeight="1" x14ac:dyDescent="0.4">
      <c r="B57" s="336" t="str">
        <f>$B$37</f>
        <v>行政書士法人チェスター</v>
      </c>
      <c r="C57" s="336"/>
      <c r="D57" s="337"/>
      <c r="G57" s="336" t="str">
        <f>$B$37</f>
        <v>行政書士法人チェスター</v>
      </c>
      <c r="H57" s="336"/>
      <c r="I57" s="337"/>
      <c r="M57" s="83"/>
      <c r="N57" s="79"/>
      <c r="O57" s="83"/>
      <c r="Q57" s="79"/>
    </row>
    <row r="58" spans="2:17" ht="15" customHeight="1" x14ac:dyDescent="0.4">
      <c r="B58" s="336"/>
      <c r="C58" s="336"/>
      <c r="D58" s="337"/>
      <c r="G58" s="336"/>
      <c r="H58" s="336"/>
      <c r="I58" s="337"/>
      <c r="M58" s="83"/>
      <c r="N58" s="79"/>
      <c r="O58" s="83"/>
      <c r="Q58" s="79"/>
    </row>
    <row r="59" spans="2:17" ht="15" customHeight="1" x14ac:dyDescent="0.4">
      <c r="B59" s="84"/>
      <c r="C59" s="338" t="e">
        <f>$C$39</f>
        <v>#N/A</v>
      </c>
      <c r="D59" s="338"/>
      <c r="G59" s="84"/>
      <c r="H59" s="338" t="e">
        <f>$C$39</f>
        <v>#N/A</v>
      </c>
      <c r="I59" s="338"/>
      <c r="M59" s="83"/>
      <c r="N59" s="79"/>
      <c r="O59" s="83"/>
      <c r="Q59" s="79"/>
    </row>
    <row r="60" spans="2:17" ht="5.25" customHeight="1" thickBot="1" x14ac:dyDescent="0.45">
      <c r="M60" s="86"/>
      <c r="N60" s="87"/>
      <c r="O60" s="86"/>
      <c r="P60" s="88"/>
      <c r="Q60" s="87"/>
    </row>
    <row r="61" spans="2:17" ht="12" customHeight="1" x14ac:dyDescent="0.4">
      <c r="E61" s="90"/>
      <c r="F61" s="91"/>
      <c r="K61" s="92"/>
    </row>
    <row r="62" spans="2:17" ht="34.5" customHeight="1" x14ac:dyDescent="0.4">
      <c r="E62" s="93"/>
      <c r="F62" s="94"/>
      <c r="K62" s="95"/>
    </row>
  </sheetData>
  <mergeCells count="74">
    <mergeCell ref="B57:D58"/>
    <mergeCell ref="G57:I58"/>
    <mergeCell ref="C59:D59"/>
    <mergeCell ref="H59:I59"/>
    <mergeCell ref="B53:D53"/>
    <mergeCell ref="G53:I53"/>
    <mergeCell ref="B55:D55"/>
    <mergeCell ref="G55:I55"/>
    <mergeCell ref="B56:E56"/>
    <mergeCell ref="G56:J56"/>
    <mergeCell ref="B47:D48"/>
    <mergeCell ref="G47:I48"/>
    <mergeCell ref="C49:D49"/>
    <mergeCell ref="H49:I49"/>
    <mergeCell ref="B52:D52"/>
    <mergeCell ref="G52:I52"/>
    <mergeCell ref="B43:D43"/>
    <mergeCell ref="G43:I43"/>
    <mergeCell ref="B45:D45"/>
    <mergeCell ref="G45:I45"/>
    <mergeCell ref="B46:E46"/>
    <mergeCell ref="G46:J46"/>
    <mergeCell ref="B37:D38"/>
    <mergeCell ref="G37:I38"/>
    <mergeCell ref="C39:D39"/>
    <mergeCell ref="H39:I39"/>
    <mergeCell ref="B42:D42"/>
    <mergeCell ref="G42:I42"/>
    <mergeCell ref="B33:D33"/>
    <mergeCell ref="G33:I33"/>
    <mergeCell ref="B35:D35"/>
    <mergeCell ref="G35:I35"/>
    <mergeCell ref="B36:E36"/>
    <mergeCell ref="G36:J36"/>
    <mergeCell ref="B27:D28"/>
    <mergeCell ref="G27:I28"/>
    <mergeCell ref="C29:D29"/>
    <mergeCell ref="H29:I29"/>
    <mergeCell ref="B32:D32"/>
    <mergeCell ref="G32:I32"/>
    <mergeCell ref="N13:P27"/>
    <mergeCell ref="B15:D15"/>
    <mergeCell ref="G15:I15"/>
    <mergeCell ref="B16:E16"/>
    <mergeCell ref="G16:J16"/>
    <mergeCell ref="B17:D18"/>
    <mergeCell ref="G17:I18"/>
    <mergeCell ref="C19:D19"/>
    <mergeCell ref="H19:I19"/>
    <mergeCell ref="B22:D22"/>
    <mergeCell ref="B13:D13"/>
    <mergeCell ref="G13:I13"/>
    <mergeCell ref="G22:I22"/>
    <mergeCell ref="B23:D23"/>
    <mergeCell ref="G23:I23"/>
    <mergeCell ref="B25:D25"/>
    <mergeCell ref="C9:D9"/>
    <mergeCell ref="H9:I9"/>
    <mergeCell ref="B12:D12"/>
    <mergeCell ref="G12:I12"/>
    <mergeCell ref="B26:E26"/>
    <mergeCell ref="G26:J26"/>
    <mergeCell ref="G25:I25"/>
    <mergeCell ref="B2:D2"/>
    <mergeCell ref="G2:I2"/>
    <mergeCell ref="B3:D3"/>
    <mergeCell ref="G3:I3"/>
    <mergeCell ref="M3:N8"/>
    <mergeCell ref="B5:D5"/>
    <mergeCell ref="G5:I5"/>
    <mergeCell ref="B6:E6"/>
    <mergeCell ref="G6:J6"/>
    <mergeCell ref="B7:D8"/>
    <mergeCell ref="G7:I8"/>
  </mergeCells>
  <phoneticPr fontId="2"/>
  <pageMargins left="0.74803149606299213" right="0.74803149606299213" top="0.9055118110236221" bottom="0.9055118110236221" header="0" footer="0"/>
  <pageSetup paperSize="9" scale="91"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94BDA-5FBC-4C3C-87F8-0397841C8E83}">
  <sheetPr codeName="Sheet6"/>
  <dimension ref="A1:AA36"/>
  <sheetViews>
    <sheetView view="pageBreakPreview" topLeftCell="C1" zoomScaleNormal="100" zoomScaleSheetLayoutView="100" workbookViewId="0">
      <selection activeCell="N7" sqref="N7"/>
    </sheetView>
  </sheetViews>
  <sheetFormatPr defaultRowHeight="18.75" x14ac:dyDescent="0.4"/>
  <cols>
    <col min="1" max="1" width="1.25" hidden="1" customWidth="1"/>
    <col min="2" max="2" width="1.25" style="206" hidden="1" customWidth="1"/>
    <col min="3" max="3" width="4.625" customWidth="1"/>
    <col min="4" max="27" width="3.625" customWidth="1"/>
  </cols>
  <sheetData>
    <row r="1" spans="2:27" x14ac:dyDescent="0.4">
      <c r="B1" s="205"/>
      <c r="C1" s="8"/>
      <c r="D1" s="8"/>
      <c r="E1" s="8"/>
      <c r="F1" s="8"/>
      <c r="G1" s="8"/>
      <c r="H1" s="8"/>
      <c r="I1" s="8"/>
      <c r="J1" s="8"/>
      <c r="K1" s="8"/>
      <c r="L1" s="8"/>
      <c r="M1" s="8"/>
      <c r="N1" s="8"/>
      <c r="O1" s="8"/>
      <c r="P1" s="8"/>
      <c r="Q1" s="8"/>
      <c r="R1" s="8"/>
      <c r="S1" s="8"/>
      <c r="T1" s="8"/>
      <c r="U1" s="8"/>
      <c r="V1" s="8"/>
      <c r="W1" s="8"/>
      <c r="X1" s="8"/>
      <c r="Y1" s="8"/>
      <c r="Z1" s="8"/>
      <c r="AA1" s="8"/>
    </row>
    <row r="2" spans="2:27" ht="28.5" x14ac:dyDescent="0.4">
      <c r="C2" s="9" t="s">
        <v>44</v>
      </c>
      <c r="D2" s="8"/>
      <c r="E2" s="8"/>
      <c r="F2" s="8"/>
      <c r="G2" s="8"/>
      <c r="H2" s="8"/>
      <c r="I2" s="8"/>
      <c r="J2" s="8"/>
      <c r="K2" s="8"/>
      <c r="L2" s="8"/>
      <c r="M2" s="8"/>
      <c r="N2" s="8"/>
      <c r="O2" s="8"/>
      <c r="P2" s="8"/>
      <c r="Q2" s="8"/>
      <c r="R2" s="8"/>
      <c r="S2" s="8"/>
      <c r="T2" s="8"/>
      <c r="U2" s="8"/>
      <c r="V2" s="8"/>
      <c r="W2" s="8"/>
      <c r="X2" s="8"/>
      <c r="Y2" s="8"/>
      <c r="Z2" s="8"/>
      <c r="AA2" s="8"/>
    </row>
    <row r="3" spans="2:27" x14ac:dyDescent="0.4">
      <c r="B3" s="205"/>
      <c r="C3" s="8"/>
      <c r="D3" s="8"/>
      <c r="E3" s="8"/>
      <c r="F3" s="8"/>
      <c r="G3" s="8"/>
      <c r="H3" s="8"/>
      <c r="I3" s="8"/>
      <c r="J3" s="8"/>
      <c r="K3" s="8"/>
      <c r="L3" s="8"/>
      <c r="M3" s="8"/>
      <c r="N3" s="8"/>
      <c r="O3" s="8"/>
      <c r="P3" s="8"/>
      <c r="Q3" s="8"/>
      <c r="R3" s="8"/>
      <c r="S3" s="8"/>
      <c r="T3" s="8"/>
      <c r="U3" s="8"/>
      <c r="V3" s="358">
        <f>基本情報入力!$B$14</f>
        <v>0</v>
      </c>
      <c r="W3" s="358"/>
      <c r="X3" s="358"/>
      <c r="Y3" s="358"/>
      <c r="Z3" s="358"/>
    </row>
    <row r="4" spans="2:27" x14ac:dyDescent="0.2">
      <c r="C4" s="19"/>
      <c r="D4" s="19"/>
      <c r="E4" s="19"/>
      <c r="F4" s="19"/>
      <c r="G4" s="19"/>
      <c r="H4" s="19"/>
      <c r="I4" s="19"/>
      <c r="J4" s="19"/>
      <c r="K4" s="19"/>
      <c r="L4" s="8"/>
      <c r="M4" s="8"/>
      <c r="N4" s="8"/>
      <c r="O4" s="8"/>
      <c r="P4" s="8"/>
      <c r="Q4" s="8"/>
      <c r="R4" s="8"/>
      <c r="S4" s="8"/>
      <c r="T4" s="8"/>
      <c r="U4" s="8"/>
      <c r="V4" s="8"/>
      <c r="W4" s="8"/>
      <c r="X4" s="8"/>
      <c r="Y4" s="8"/>
      <c r="Z4" s="8"/>
    </row>
    <row r="5" spans="2:27" x14ac:dyDescent="0.2">
      <c r="C5" s="348" t="str">
        <f>IFERROR(VLOOKUP(基本情報入力!$B$15,基本情報入力!$A$23:$K$35,3,FALSE),"")</f>
        <v/>
      </c>
      <c r="D5" s="348"/>
      <c r="E5" s="348"/>
      <c r="F5" s="348"/>
      <c r="G5" s="348"/>
      <c r="H5" s="348"/>
      <c r="I5" s="348"/>
      <c r="J5" s="348"/>
      <c r="K5" s="19"/>
      <c r="M5" s="8"/>
      <c r="N5" s="8"/>
      <c r="O5" s="8"/>
      <c r="P5" s="8"/>
      <c r="Q5" s="8"/>
      <c r="R5" s="8"/>
      <c r="S5" s="8"/>
      <c r="T5" s="8"/>
      <c r="U5" s="8"/>
      <c r="V5" s="8"/>
      <c r="W5" s="8"/>
      <c r="X5" s="8"/>
      <c r="Y5" s="8"/>
      <c r="Z5" s="8"/>
    </row>
    <row r="6" spans="2:27" x14ac:dyDescent="0.15">
      <c r="B6" s="207"/>
      <c r="C6" s="349"/>
      <c r="D6" s="349"/>
      <c r="E6" s="349"/>
      <c r="F6" s="349"/>
      <c r="G6" s="349"/>
      <c r="H6" s="349"/>
      <c r="I6" s="349"/>
      <c r="J6" s="349"/>
      <c r="K6" s="16" t="s">
        <v>55</v>
      </c>
      <c r="L6" s="18"/>
      <c r="M6" s="8"/>
      <c r="N6" s="8"/>
      <c r="O6" s="8"/>
      <c r="P6" s="8"/>
      <c r="Q6" s="8"/>
      <c r="R6" s="8"/>
      <c r="S6" s="8"/>
      <c r="T6" s="8"/>
      <c r="U6" s="8"/>
      <c r="V6" s="8"/>
      <c r="W6" s="8"/>
      <c r="X6" s="8"/>
      <c r="Y6" s="8"/>
      <c r="Z6" s="8"/>
    </row>
    <row r="7" spans="2:27" x14ac:dyDescent="0.4">
      <c r="B7" s="205"/>
      <c r="C7" s="8"/>
      <c r="D7" s="8"/>
      <c r="E7" s="8"/>
      <c r="F7" s="8"/>
      <c r="G7" s="8"/>
      <c r="H7" s="8"/>
      <c r="I7" s="8"/>
      <c r="J7" s="8"/>
      <c r="K7" s="8"/>
      <c r="L7" s="8"/>
      <c r="M7" s="8"/>
      <c r="N7" s="8"/>
      <c r="O7" s="8"/>
      <c r="P7" s="8"/>
      <c r="Q7" s="8"/>
      <c r="R7" s="8"/>
      <c r="S7" s="8"/>
      <c r="T7" s="351" t="s">
        <v>209</v>
      </c>
      <c r="U7" s="351"/>
      <c r="V7" s="351"/>
      <c r="W7" s="351"/>
      <c r="X7" s="351"/>
      <c r="Y7" s="351"/>
      <c r="Z7" s="351"/>
    </row>
    <row r="8" spans="2:27" x14ac:dyDescent="0.4">
      <c r="B8" s="205"/>
      <c r="C8" s="8"/>
      <c r="D8" s="8"/>
      <c r="E8" s="8"/>
      <c r="F8" s="8"/>
      <c r="G8" s="8"/>
      <c r="H8" s="8"/>
      <c r="I8" s="8"/>
      <c r="J8" s="8"/>
      <c r="K8" s="8"/>
      <c r="L8" s="8"/>
      <c r="M8" s="8"/>
      <c r="N8" s="8"/>
      <c r="O8" s="8"/>
      <c r="P8" s="8"/>
      <c r="Q8" s="8"/>
      <c r="R8" s="8"/>
      <c r="S8" s="8"/>
      <c r="W8" s="351" t="s">
        <v>45</v>
      </c>
      <c r="X8" s="351"/>
      <c r="Y8" s="359">
        <f>基本情報入力!$B$13</f>
        <v>0</v>
      </c>
      <c r="Z8" s="359"/>
    </row>
    <row r="9" spans="2:27" x14ac:dyDescent="0.4">
      <c r="C9" s="8" t="s">
        <v>46</v>
      </c>
      <c r="D9" s="8"/>
      <c r="E9" s="8"/>
      <c r="F9" s="8"/>
      <c r="G9" s="8"/>
      <c r="H9" s="8"/>
      <c r="I9" s="8"/>
      <c r="J9" s="8"/>
      <c r="K9" s="8"/>
      <c r="L9" s="8"/>
      <c r="M9" s="8"/>
      <c r="N9" s="8"/>
      <c r="O9" s="8"/>
      <c r="P9" s="8"/>
      <c r="Q9" s="8"/>
      <c r="S9" s="8"/>
      <c r="T9" s="8"/>
      <c r="U9" s="8"/>
      <c r="V9" s="11"/>
      <c r="W9" s="11"/>
      <c r="X9" s="8"/>
      <c r="Y9" s="8"/>
      <c r="Z9" s="21" t="e">
        <f>VLOOKUP(基本情報入力!$B$12,基本情報入力!$N$71:$S$1000,2,FALSE)</f>
        <v>#N/A</v>
      </c>
    </row>
    <row r="10" spans="2:27" x14ac:dyDescent="0.4">
      <c r="C10" s="8" t="s">
        <v>47</v>
      </c>
      <c r="D10" s="8"/>
      <c r="E10" s="8"/>
      <c r="F10" s="8"/>
      <c r="G10" s="8"/>
      <c r="H10" s="8"/>
      <c r="I10" s="8"/>
      <c r="J10" s="8"/>
      <c r="K10" s="8"/>
      <c r="L10" s="8"/>
      <c r="M10" s="8"/>
      <c r="N10" s="8"/>
      <c r="O10" s="8"/>
      <c r="P10" s="8"/>
      <c r="Q10" s="8"/>
      <c r="R10" s="8"/>
      <c r="S10" s="8"/>
      <c r="T10" s="8"/>
      <c r="U10" s="8"/>
      <c r="V10" s="8"/>
      <c r="W10" s="8"/>
      <c r="X10" s="8"/>
      <c r="Y10" s="8"/>
      <c r="Z10" s="11" t="e">
        <f>VLOOKUP(基本情報入力!$B$12,基本情報入力!$N$71:$S$1000,3,FALSE)</f>
        <v>#N/A</v>
      </c>
    </row>
    <row r="11" spans="2:27" x14ac:dyDescent="0.4">
      <c r="C11" s="8" t="s">
        <v>48</v>
      </c>
      <c r="D11" s="8"/>
      <c r="E11" s="8"/>
      <c r="F11" s="8"/>
      <c r="G11" s="8"/>
      <c r="H11" s="8"/>
      <c r="I11" s="8"/>
      <c r="J11" s="8"/>
      <c r="K11" s="8"/>
      <c r="L11" s="8"/>
      <c r="M11" s="8"/>
      <c r="N11" s="8"/>
      <c r="O11" s="8"/>
      <c r="P11" s="8"/>
      <c r="Q11" s="8"/>
      <c r="R11" s="8"/>
      <c r="S11" s="8"/>
      <c r="T11" s="8"/>
      <c r="U11" s="8"/>
      <c r="V11" s="8"/>
      <c r="W11" s="8"/>
      <c r="X11" s="8"/>
      <c r="Y11" s="8"/>
      <c r="Z11" s="11" t="e">
        <f>VLOOKUP(基本情報入力!$B$12,基本情報入力!$N$71:$S$1000,4,FALSE)</f>
        <v>#N/A</v>
      </c>
    </row>
    <row r="12" spans="2:27" x14ac:dyDescent="0.4">
      <c r="B12" s="205"/>
      <c r="C12" s="8"/>
      <c r="D12" s="8"/>
      <c r="E12" s="8"/>
      <c r="F12" s="8"/>
      <c r="G12" s="8"/>
      <c r="H12" s="8"/>
      <c r="I12" s="8"/>
      <c r="J12" s="8"/>
      <c r="K12" s="8"/>
      <c r="L12" s="8"/>
      <c r="M12" s="8"/>
      <c r="N12" s="8"/>
      <c r="O12" s="8"/>
      <c r="P12" s="8"/>
      <c r="Q12" s="8"/>
      <c r="S12" s="8"/>
      <c r="V12" s="11" t="s">
        <v>49</v>
      </c>
      <c r="W12" s="360" t="e">
        <f>VLOOKUP(基本情報入力!$B$13,基本情報入力!$G$72:$H$1000,2,FALSE)</f>
        <v>#N/A</v>
      </c>
      <c r="X12" s="360"/>
      <c r="Y12" s="360"/>
      <c r="Z12" s="360"/>
    </row>
    <row r="13" spans="2:27" x14ac:dyDescent="0.4">
      <c r="B13" s="205"/>
      <c r="C13" s="8"/>
      <c r="D13" s="8"/>
      <c r="E13" s="8"/>
      <c r="F13" s="8"/>
      <c r="G13" s="8"/>
      <c r="H13" s="8"/>
      <c r="I13" s="8"/>
      <c r="J13" s="8"/>
      <c r="K13" s="8"/>
      <c r="L13" s="8"/>
      <c r="M13" s="8"/>
      <c r="N13" s="8"/>
      <c r="O13" s="8"/>
      <c r="P13" s="8"/>
      <c r="Q13" s="8"/>
      <c r="S13" s="8"/>
      <c r="V13" s="11" t="s">
        <v>50</v>
      </c>
      <c r="W13" s="360" t="e">
        <f>VLOOKUP(基本情報入力!$B$12,基本情報入力!$N$72:$S$1000,6,FALSE)</f>
        <v>#N/A</v>
      </c>
      <c r="X13" s="360"/>
      <c r="Y13" s="360"/>
      <c r="Z13" s="360"/>
    </row>
    <row r="14" spans="2:27" ht="12.75" customHeight="1" x14ac:dyDescent="0.4">
      <c r="B14" s="205"/>
      <c r="C14" s="8"/>
      <c r="D14" s="8"/>
      <c r="E14" s="8"/>
      <c r="F14" s="8"/>
      <c r="G14" s="8"/>
      <c r="H14" s="8"/>
      <c r="I14" s="8"/>
      <c r="J14" s="8"/>
      <c r="K14" s="8"/>
      <c r="L14" s="8"/>
      <c r="M14" s="8"/>
      <c r="N14" s="8"/>
      <c r="O14" s="8"/>
      <c r="P14" s="8"/>
      <c r="Q14" s="8"/>
      <c r="R14" s="8"/>
      <c r="S14" s="8"/>
      <c r="T14" s="8"/>
      <c r="U14" s="8"/>
      <c r="V14" s="8"/>
      <c r="W14" s="8"/>
      <c r="X14" s="8"/>
      <c r="Y14" s="8"/>
      <c r="Z14" s="8"/>
      <c r="AA14" s="8"/>
    </row>
    <row r="15" spans="2:27" x14ac:dyDescent="0.4">
      <c r="C15" s="350" t="s">
        <v>51</v>
      </c>
      <c r="D15" s="350"/>
      <c r="E15" s="350"/>
      <c r="F15" s="350"/>
      <c r="G15" s="350"/>
      <c r="H15" s="350"/>
      <c r="I15" s="350"/>
      <c r="J15" s="350"/>
      <c r="K15" s="350"/>
      <c r="L15" s="350"/>
      <c r="M15" s="350"/>
      <c r="N15" s="350"/>
      <c r="O15" s="350"/>
      <c r="P15" s="350"/>
      <c r="Q15" s="350"/>
      <c r="R15" s="350"/>
      <c r="S15" s="350"/>
      <c r="T15" s="350"/>
      <c r="U15" s="350"/>
      <c r="V15" s="350"/>
      <c r="W15" s="350"/>
      <c r="X15" s="350"/>
      <c r="Y15" s="350"/>
      <c r="Z15" s="350"/>
      <c r="AA15" s="8"/>
    </row>
    <row r="16" spans="2:27" ht="12.75" customHeight="1" x14ac:dyDescent="0.4">
      <c r="B16" s="205"/>
      <c r="C16" s="8"/>
      <c r="D16" s="8"/>
      <c r="E16" s="8"/>
      <c r="F16" s="8"/>
      <c r="G16" s="8"/>
      <c r="H16" s="8"/>
      <c r="I16" s="8"/>
      <c r="J16" s="8"/>
      <c r="K16" s="8"/>
      <c r="L16" s="8"/>
      <c r="M16" s="8"/>
      <c r="N16" s="8"/>
      <c r="O16" s="8"/>
      <c r="P16" s="8"/>
      <c r="Q16" s="8"/>
      <c r="R16" s="8"/>
      <c r="S16" s="8"/>
      <c r="T16" s="8"/>
      <c r="U16" s="8"/>
      <c r="V16" s="8"/>
      <c r="W16" s="8"/>
      <c r="X16" s="8"/>
      <c r="Y16" s="8"/>
      <c r="Z16" s="8"/>
      <c r="AA16" s="8"/>
    </row>
    <row r="17" spans="1:27" x14ac:dyDescent="0.4">
      <c r="B17" s="205"/>
      <c r="C17" s="361" t="s">
        <v>52</v>
      </c>
      <c r="D17" s="362"/>
      <c r="E17" s="362"/>
      <c r="F17" s="362"/>
      <c r="G17" s="362"/>
      <c r="H17" s="362"/>
      <c r="I17" s="362"/>
      <c r="J17" s="362"/>
      <c r="K17" s="362"/>
      <c r="L17" s="362"/>
      <c r="M17" s="362"/>
      <c r="N17" s="362"/>
      <c r="O17" s="362"/>
      <c r="P17" s="362"/>
      <c r="Q17" s="362"/>
      <c r="R17" s="362"/>
      <c r="S17" s="362"/>
      <c r="T17" s="362"/>
      <c r="U17" s="362"/>
      <c r="V17" s="363"/>
      <c r="W17" s="361" t="s">
        <v>53</v>
      </c>
      <c r="X17" s="362"/>
      <c r="Y17" s="362"/>
      <c r="Z17" s="363"/>
      <c r="AA17" s="12"/>
    </row>
    <row r="18" spans="1:27" ht="27.75" customHeight="1" x14ac:dyDescent="0.15">
      <c r="A18" s="8"/>
      <c r="B18" s="208" t="str">
        <f t="shared" ref="B18:B28" si="0">$D18&amp;""</f>
        <v>契約書</v>
      </c>
      <c r="C18" s="226" t="str">
        <f>IF($D18="","",基本情報入力!$F9)</f>
        <v>⑴</v>
      </c>
      <c r="D18" s="227" t="str">
        <f>IF(基本情報入力!$G9="","",基本情報入力!$G9)</f>
        <v>契約書</v>
      </c>
      <c r="E18" s="227"/>
      <c r="F18" s="227"/>
      <c r="G18" s="227"/>
      <c r="H18" s="227"/>
      <c r="I18" s="227"/>
      <c r="J18" s="227"/>
      <c r="K18" s="227"/>
      <c r="L18" s="227"/>
      <c r="M18" s="227"/>
      <c r="N18" s="227"/>
      <c r="O18" s="14"/>
      <c r="P18" s="8"/>
      <c r="Q18" s="8"/>
      <c r="R18" s="8"/>
      <c r="S18" s="8"/>
      <c r="T18" s="8"/>
      <c r="U18" s="8"/>
      <c r="V18" s="8"/>
      <c r="W18" s="203"/>
      <c r="X18" s="210" cm="1">
        <f t="array" ref="X18">_xlfn.IFS($D18="","",$D18="委任状",基本情報入力!$B$17,$D18="契約書",2,$D18="返信用封筒（書類の返送にご使用ください）",基本情報入力!$B$19,$D18="重要事項説明書",2,$D18="相続手続き業務に関する確認事項",2,TRUE,1)</f>
        <v>2</v>
      </c>
      <c r="Y18" s="222" t="str">
        <f>IF($X18="","","通")</f>
        <v>通</v>
      </c>
      <c r="Z18" s="204"/>
      <c r="AA18" s="8"/>
    </row>
    <row r="19" spans="1:27" ht="27.75" customHeight="1" x14ac:dyDescent="0.15">
      <c r="A19" s="8"/>
      <c r="B19" s="208" t="str">
        <f t="shared" si="0"/>
        <v>重要事項説明書</v>
      </c>
      <c r="C19" s="226" t="str">
        <f>IF($D19="","",基本情報入力!$F10)</f>
        <v>⑵</v>
      </c>
      <c r="D19" s="228" t="str">
        <f>IF(基本情報入力!$G10="","",基本情報入力!$G10)</f>
        <v>重要事項説明書</v>
      </c>
      <c r="E19" s="228"/>
      <c r="F19" s="228"/>
      <c r="G19" s="228"/>
      <c r="H19" s="228"/>
      <c r="I19" s="228"/>
      <c r="J19" s="228"/>
      <c r="K19" s="228"/>
      <c r="L19" s="228"/>
      <c r="M19" s="228"/>
      <c r="N19" s="228"/>
      <c r="O19" s="25"/>
      <c r="P19" s="8"/>
      <c r="Q19" s="8"/>
      <c r="R19" s="8"/>
      <c r="S19" s="8"/>
      <c r="T19" s="8"/>
      <c r="U19" s="8"/>
      <c r="V19" s="8"/>
      <c r="W19" s="203"/>
      <c r="X19" s="210" cm="1">
        <f t="array" ref="X19">_xlfn.IFS($D19="","",$D19="委任状",基本情報入力!$B$17,$D19="契約書",2,$D19="返信用封筒（書類の返送にご使用ください）",基本情報入力!$B$19,$D19="重要事項説明書",2,$D19="相続手続き業務に関する確認事項",2,TRUE,1)</f>
        <v>2</v>
      </c>
      <c r="Y19" s="222" t="str">
        <f t="shared" ref="Y19:Y26" si="1">IF($X19="","","通")</f>
        <v>通</v>
      </c>
      <c r="Z19" s="204"/>
      <c r="AA19" s="8"/>
    </row>
    <row r="20" spans="1:27" ht="27.75" customHeight="1" x14ac:dyDescent="0.15">
      <c r="A20" s="8"/>
      <c r="B20" s="208" t="str">
        <f t="shared" si="0"/>
        <v>相続手続き業務に関する確認事項</v>
      </c>
      <c r="C20" s="226" t="str">
        <f>IF($D20="","",基本情報入力!$F11)</f>
        <v>⑶</v>
      </c>
      <c r="D20" s="229" t="str">
        <f>IF(基本情報入力!$G11="","",基本情報入力!$G11)</f>
        <v>相続手続き業務に関する確認事項</v>
      </c>
      <c r="E20" s="229"/>
      <c r="F20" s="229"/>
      <c r="G20" s="229"/>
      <c r="H20" s="229"/>
      <c r="I20" s="229"/>
      <c r="J20" s="229"/>
      <c r="K20" s="229"/>
      <c r="L20" s="229"/>
      <c r="M20" s="229"/>
      <c r="N20" s="229"/>
      <c r="O20" s="10"/>
      <c r="P20" s="8"/>
      <c r="Q20" s="8"/>
      <c r="R20" s="8"/>
      <c r="S20" s="8"/>
      <c r="T20" s="8"/>
      <c r="U20" s="8"/>
      <c r="V20" s="8"/>
      <c r="W20" s="203"/>
      <c r="X20" s="210" cm="1">
        <f t="array" ref="X20">_xlfn.IFS($D20="","",$D20="委任状",基本情報入力!$B$17,$D20="契約書",2,$D20="返信用封筒（書類の返送にご使用ください）",基本情報入力!$B$19,$D20="重要事項説明書",2,$D20="相続手続き業務に関する確認事項",2,TRUE,1)</f>
        <v>2</v>
      </c>
      <c r="Y20" s="222" t="str">
        <f t="shared" si="1"/>
        <v>通</v>
      </c>
      <c r="Z20" s="204"/>
      <c r="AA20" s="8"/>
    </row>
    <row r="21" spans="1:27" ht="27.75" customHeight="1" x14ac:dyDescent="0.15">
      <c r="A21" s="8"/>
      <c r="B21" s="208" t="str">
        <f t="shared" si="0"/>
        <v>委任状</v>
      </c>
      <c r="C21" s="226" t="str">
        <f>IF($D21="","",基本情報入力!$F12)</f>
        <v>⑷</v>
      </c>
      <c r="D21" s="229" t="str">
        <f>IF(基本情報入力!$G12="","",基本情報入力!$G12)</f>
        <v>委任状</v>
      </c>
      <c r="E21" s="229"/>
      <c r="F21" s="229"/>
      <c r="G21" s="229"/>
      <c r="H21" s="229"/>
      <c r="I21" s="229"/>
      <c r="J21" s="229"/>
      <c r="K21" s="229"/>
      <c r="L21" s="229"/>
      <c r="M21" s="229"/>
      <c r="N21" s="229"/>
      <c r="O21" s="10"/>
      <c r="P21" s="10"/>
      <c r="Q21" s="10"/>
      <c r="R21" s="10"/>
      <c r="S21" s="10"/>
      <c r="T21" s="10"/>
      <c r="U21" s="10"/>
      <c r="V21" s="10"/>
      <c r="W21" s="203"/>
      <c r="X21" s="210" cm="1">
        <f t="array" ref="X21">_xlfn.IFS($D21="","",$D21="委任状",基本情報入力!$B$17,$D21="契約書",2,$D21="返信用封筒（書類の返送にご使用ください）",基本情報入力!$B$19,$D21="重要事項説明書",2,$D21="相続手続き業務に関する確認事項",2,TRUE,1)</f>
        <v>0</v>
      </c>
      <c r="Y21" s="222" t="str">
        <f t="shared" si="1"/>
        <v>通</v>
      </c>
      <c r="Z21" s="204"/>
      <c r="AA21" s="8"/>
    </row>
    <row r="22" spans="1:27" ht="27.75" customHeight="1" x14ac:dyDescent="0.15">
      <c r="A22" s="8"/>
      <c r="B22" s="208" t="str">
        <f t="shared" si="0"/>
        <v>口座の凍結についての確認書</v>
      </c>
      <c r="C22" s="226" t="str">
        <f>IF($D22="","",基本情報入力!$F13)</f>
        <v>⑸</v>
      </c>
      <c r="D22" s="229" t="str">
        <f>IF(基本情報入力!$G13="","",基本情報入力!$G13)</f>
        <v>口座の凍結についての確認書</v>
      </c>
      <c r="E22" s="229"/>
      <c r="F22" s="229"/>
      <c r="G22" s="229"/>
      <c r="H22" s="229"/>
      <c r="I22" s="229"/>
      <c r="J22" s="229"/>
      <c r="K22" s="229"/>
      <c r="L22" s="229"/>
      <c r="M22" s="229"/>
      <c r="N22" s="229"/>
      <c r="O22" s="10"/>
      <c r="P22" s="10"/>
      <c r="Q22" s="10"/>
      <c r="R22" s="10"/>
      <c r="S22" s="10"/>
      <c r="T22" s="10"/>
      <c r="U22" s="10"/>
      <c r="V22" s="10"/>
      <c r="W22" s="203"/>
      <c r="X22" s="210" cm="1">
        <f t="array" ref="X22">_xlfn.IFS($D22="","",$D22="委任状",基本情報入力!$B$17,$D22="契約書",2,$D22="返信用封筒（書類の返送にご使用ください）",基本情報入力!$B$19,$D22="重要事項説明書",2,$D22="相続手続き業務に関する確認事項",2,TRUE,1)</f>
        <v>1</v>
      </c>
      <c r="Y22" s="222" t="str">
        <f>IF($X22="","","通")</f>
        <v>通</v>
      </c>
      <c r="Z22" s="204"/>
      <c r="AA22" s="8"/>
    </row>
    <row r="23" spans="1:27" ht="27.75" customHeight="1" x14ac:dyDescent="0.15">
      <c r="A23" s="8"/>
      <c r="B23" s="208" t="str">
        <f t="shared" si="0"/>
        <v>不動産・金融機関情報一覧</v>
      </c>
      <c r="C23" s="226" t="str">
        <f>IF($D23="","",基本情報入力!$F14)</f>
        <v>⑹</v>
      </c>
      <c r="D23" s="229" t="str">
        <f>IF(基本情報入力!$G14="","",基本情報入力!$G14)</f>
        <v>不動産・金融機関情報一覧</v>
      </c>
      <c r="E23" s="229"/>
      <c r="F23" s="229"/>
      <c r="G23" s="229"/>
      <c r="H23" s="229"/>
      <c r="I23" s="229"/>
      <c r="J23" s="229"/>
      <c r="K23" s="229"/>
      <c r="L23" s="229"/>
      <c r="M23" s="229"/>
      <c r="N23" s="229"/>
      <c r="O23" s="10"/>
      <c r="P23" s="17"/>
      <c r="Q23" s="17"/>
      <c r="R23" s="17"/>
      <c r="S23" s="17"/>
      <c r="T23" s="17"/>
      <c r="U23" s="17"/>
      <c r="V23" s="17"/>
      <c r="W23" s="203"/>
      <c r="X23" s="210" cm="1">
        <f t="array" ref="X23">_xlfn.IFS($D23="","",$D23="委任状",基本情報入力!$B$17,$D23="契約書",2,$D23="返信用封筒（書類の返送にご使用ください）",基本情報入力!$B$19,$D23="重要事項説明書",2,$D23="相続手続き業務に関する確認事項",2,TRUE,1)</f>
        <v>1</v>
      </c>
      <c r="Y23" s="222" t="str">
        <f t="shared" si="1"/>
        <v>通</v>
      </c>
      <c r="Z23" s="204"/>
      <c r="AA23" s="8"/>
    </row>
    <row r="24" spans="1:27" ht="27.75" customHeight="1" x14ac:dyDescent="0.15">
      <c r="A24" s="8"/>
      <c r="B24" s="208" t="str">
        <f t="shared" si="0"/>
        <v>戸籍関係情報</v>
      </c>
      <c r="C24" s="226" t="str">
        <f>IF($D24="","",基本情報入力!$F15)</f>
        <v>⑺</v>
      </c>
      <c r="D24" s="229" t="str">
        <f>IF(基本情報入力!$G15="","",基本情報入力!$G15)</f>
        <v>戸籍関係情報</v>
      </c>
      <c r="E24" s="229"/>
      <c r="F24" s="229"/>
      <c r="G24" s="229"/>
      <c r="H24" s="229"/>
      <c r="I24" s="229"/>
      <c r="J24" s="229"/>
      <c r="K24" s="229"/>
      <c r="L24" s="229"/>
      <c r="M24" s="229"/>
      <c r="N24" s="229"/>
      <c r="O24" s="10"/>
      <c r="P24" s="17"/>
      <c r="Q24" s="17"/>
      <c r="R24" s="17"/>
      <c r="S24" s="17"/>
      <c r="T24" s="17"/>
      <c r="U24" s="17"/>
      <c r="V24" s="17"/>
      <c r="W24" s="203"/>
      <c r="X24" s="210" cm="1">
        <f t="array" ref="X24">_xlfn.IFS($D24="","",$D24="委任状",基本情報入力!$B$17,$D24="契約書",2,$D24="返信用封筒（書類の返送にご使用ください）",基本情報入力!$B$19,$D24="重要事項説明書",2,$D24="相続手続き業務に関する確認事項",2,TRUE,1)</f>
        <v>1</v>
      </c>
      <c r="Y24" s="222" t="str">
        <f t="shared" si="1"/>
        <v>通</v>
      </c>
      <c r="Z24" s="204"/>
      <c r="AA24" s="8"/>
    </row>
    <row r="25" spans="1:27" ht="27.75" customHeight="1" x14ac:dyDescent="0.15">
      <c r="A25" s="8"/>
      <c r="B25" s="208" t="str">
        <f t="shared" si="0"/>
        <v>請求書</v>
      </c>
      <c r="C25" s="226" t="str">
        <f>IF($D25="","",基本情報入力!$F16)</f>
        <v>⑻</v>
      </c>
      <c r="D25" s="229" t="str">
        <f>IF(基本情報入力!$G16="","",基本情報入力!$G16)</f>
        <v>請求書</v>
      </c>
      <c r="E25" s="229"/>
      <c r="F25" s="229"/>
      <c r="G25" s="229"/>
      <c r="H25" s="229"/>
      <c r="I25" s="229"/>
      <c r="J25" s="229"/>
      <c r="K25" s="229"/>
      <c r="L25" s="229"/>
      <c r="M25" s="229"/>
      <c r="N25" s="229"/>
      <c r="O25" s="10"/>
      <c r="P25" s="17"/>
      <c r="Q25" s="17"/>
      <c r="R25" s="17"/>
      <c r="S25" s="17"/>
      <c r="T25" s="17"/>
      <c r="U25" s="17"/>
      <c r="V25" s="17"/>
      <c r="W25" s="203"/>
      <c r="X25" s="210" cm="1">
        <f t="array" ref="X25">_xlfn.IFS($D25="","",$D25="委任状",基本情報入力!$B$17,$D25="契約書",2,$D25="返信用封筒（書類の返送にご使用ください）",基本情報入力!$B$19,$D25="重要事項説明書",2,$D25="相続手続き業務に関する確認事項",2,TRUE,1)</f>
        <v>1</v>
      </c>
      <c r="Y25" s="222" t="str">
        <f t="shared" si="1"/>
        <v>通</v>
      </c>
      <c r="Z25" s="204"/>
      <c r="AA25" s="8"/>
    </row>
    <row r="26" spans="1:27" ht="27.75" customHeight="1" x14ac:dyDescent="0.15">
      <c r="A26" s="8"/>
      <c r="B26" s="208" t="str">
        <f t="shared" si="0"/>
        <v>返信用封筒(書類の返送にご使用ください)</v>
      </c>
      <c r="C26" s="226" t="str">
        <f>IF($D26="","",基本情報入力!$F17)</f>
        <v>⑼</v>
      </c>
      <c r="D26" s="229" t="str">
        <f>IF(基本情報入力!$G17="","",基本情報入力!$G17)</f>
        <v>返信用封筒(書類の返送にご使用ください)</v>
      </c>
      <c r="E26" s="229"/>
      <c r="F26" s="229"/>
      <c r="G26" s="229"/>
      <c r="H26" s="229"/>
      <c r="I26" s="229"/>
      <c r="J26" s="229"/>
      <c r="K26" s="229"/>
      <c r="L26" s="229"/>
      <c r="M26" s="229"/>
      <c r="N26" s="229"/>
      <c r="O26" s="229"/>
      <c r="P26" s="261"/>
      <c r="Q26" s="261"/>
      <c r="R26" s="261"/>
      <c r="S26" s="261"/>
      <c r="T26" s="261"/>
      <c r="U26" s="261"/>
      <c r="V26" s="261"/>
      <c r="W26" s="262"/>
      <c r="X26" s="210" cm="1">
        <f t="array" ref="X26">_xlfn.IFS($D26="","",$D26="委任状",基本情報入力!$B$17,$D26="契約書",2,$D26="返信用封筒（書類の返送にご使用ください）",基本情報入力!$B$19,$D26="重要事項説明書",2,$D26="相続手続き業務に関する確認事項",2,TRUE,1)</f>
        <v>1</v>
      </c>
      <c r="Y26" s="263" t="str">
        <f t="shared" si="1"/>
        <v>通</v>
      </c>
      <c r="Z26" s="264"/>
      <c r="AA26" s="8"/>
    </row>
    <row r="27" spans="1:27" ht="27.75" customHeight="1" x14ac:dyDescent="0.15">
      <c r="A27" s="8"/>
      <c r="B27" s="208" t="str">
        <f t="shared" si="0"/>
        <v/>
      </c>
      <c r="C27" s="226" t="str">
        <f>IF($D27="","",基本情報入力!$F18)</f>
        <v/>
      </c>
      <c r="D27" s="229" t="str">
        <f>IF(基本情報入力!$G18="","",基本情報入力!$G18)</f>
        <v/>
      </c>
      <c r="E27" s="229"/>
      <c r="F27" s="229"/>
      <c r="G27" s="229"/>
      <c r="H27" s="229"/>
      <c r="I27" s="229"/>
      <c r="J27" s="229"/>
      <c r="K27" s="229"/>
      <c r="L27" s="229"/>
      <c r="M27" s="229"/>
      <c r="N27" s="229"/>
      <c r="O27" s="229"/>
      <c r="P27" s="261"/>
      <c r="Q27" s="261"/>
      <c r="R27" s="261"/>
      <c r="S27" s="261"/>
      <c r="T27" s="261"/>
      <c r="U27" s="261"/>
      <c r="V27" s="261"/>
      <c r="W27" s="262"/>
      <c r="X27" s="210" t="str" cm="1">
        <f t="array" ref="X27">_xlfn.IFS($D27="","",$D27="委任状",基本情報入力!$B$17,$D27="契約書",2,$D27="返信用封筒（書類の返送にご使用ください）",基本情報入力!$B$19,$D27="重要事項説明書",2,$D27="相続手続き業務に関する確認事項",2,TRUE,1)</f>
        <v/>
      </c>
      <c r="Y27" s="263" t="str">
        <f>IF($X27="","","通")</f>
        <v/>
      </c>
      <c r="Z27" s="264"/>
      <c r="AA27" s="8"/>
    </row>
    <row r="28" spans="1:27" ht="27.75" customHeight="1" x14ac:dyDescent="0.15">
      <c r="A28" s="8"/>
      <c r="B28" s="208" t="str">
        <f t="shared" si="0"/>
        <v/>
      </c>
      <c r="C28" s="226" t="str">
        <f>IF($D28="","",基本情報入力!$F19)</f>
        <v/>
      </c>
      <c r="D28" s="229" t="str">
        <f>IF(基本情報入力!$G19="","",基本情報入力!$G19)</f>
        <v/>
      </c>
      <c r="E28" s="229"/>
      <c r="F28" s="229"/>
      <c r="G28" s="229"/>
      <c r="H28" s="229"/>
      <c r="I28" s="229"/>
      <c r="J28" s="229"/>
      <c r="K28" s="229"/>
      <c r="L28" s="229"/>
      <c r="M28" s="229"/>
      <c r="N28" s="229"/>
      <c r="O28" s="229"/>
      <c r="P28" s="261"/>
      <c r="Q28" s="261"/>
      <c r="R28" s="261"/>
      <c r="S28" s="261"/>
      <c r="T28" s="261"/>
      <c r="U28" s="261"/>
      <c r="V28" s="261"/>
      <c r="W28" s="262"/>
      <c r="X28" s="210" t="str" cm="1">
        <f t="array" ref="X28">_xlfn.IFS($D28="","",$D28="委任状",基本情報入力!$B$17,$D28="契約書",2,$D28="返信用封筒（書類の返送にご使用ください）",基本情報入力!$B$19,$D28="重要事項説明書",2,$D28="相続手続き業務に関する確認事項",2,TRUE,1)</f>
        <v/>
      </c>
      <c r="Y28" s="263" t="str">
        <f>IF($X28="","","通")</f>
        <v/>
      </c>
      <c r="Z28" s="264"/>
      <c r="AA28" s="8"/>
    </row>
    <row r="29" spans="1:27" ht="22.5" customHeight="1" x14ac:dyDescent="0.4">
      <c r="B29" s="205"/>
      <c r="C29" s="13" t="s">
        <v>54</v>
      </c>
      <c r="D29" s="14"/>
      <c r="E29" s="14"/>
      <c r="F29" s="14"/>
      <c r="G29" s="14"/>
      <c r="H29" s="14"/>
      <c r="I29" s="14"/>
      <c r="J29" s="14"/>
      <c r="K29" s="14"/>
      <c r="L29" s="14"/>
      <c r="M29" s="14"/>
      <c r="N29" s="14"/>
      <c r="O29" s="14"/>
      <c r="P29" s="14"/>
      <c r="Q29" s="14"/>
      <c r="R29" s="14"/>
      <c r="S29" s="14"/>
      <c r="T29" s="14"/>
      <c r="U29" s="14"/>
      <c r="V29" s="14"/>
      <c r="W29" s="14"/>
      <c r="X29" s="14"/>
      <c r="Y29" s="14"/>
      <c r="Z29" s="15"/>
      <c r="AA29" s="8"/>
    </row>
    <row r="30" spans="1:27" ht="66.75" customHeight="1" x14ac:dyDescent="0.4">
      <c r="B30" s="205"/>
      <c r="C30" s="352" t="s">
        <v>451</v>
      </c>
      <c r="D30" s="353"/>
      <c r="E30" s="353"/>
      <c r="F30" s="353"/>
      <c r="G30" s="353"/>
      <c r="H30" s="353"/>
      <c r="I30" s="353"/>
      <c r="J30" s="353"/>
      <c r="K30" s="353"/>
      <c r="L30" s="353"/>
      <c r="M30" s="353"/>
      <c r="N30" s="353"/>
      <c r="O30" s="353"/>
      <c r="P30" s="353"/>
      <c r="Q30" s="353"/>
      <c r="R30" s="353"/>
      <c r="S30" s="353"/>
      <c r="T30" s="353"/>
      <c r="U30" s="353"/>
      <c r="V30" s="353"/>
      <c r="W30" s="353"/>
      <c r="X30" s="353"/>
      <c r="Y30" s="353"/>
      <c r="Z30" s="354"/>
      <c r="AA30" s="8"/>
    </row>
    <row r="31" spans="1:27" ht="96.95" customHeight="1" x14ac:dyDescent="0.4">
      <c r="B31" s="205"/>
      <c r="C31" s="355"/>
      <c r="D31" s="356"/>
      <c r="E31" s="356"/>
      <c r="F31" s="356"/>
      <c r="G31" s="356"/>
      <c r="H31" s="356"/>
      <c r="I31" s="356"/>
      <c r="J31" s="356"/>
      <c r="K31" s="356"/>
      <c r="L31" s="356"/>
      <c r="M31" s="356"/>
      <c r="N31" s="356"/>
      <c r="O31" s="356"/>
      <c r="P31" s="356"/>
      <c r="Q31" s="356"/>
      <c r="R31" s="356"/>
      <c r="S31" s="356"/>
      <c r="T31" s="356"/>
      <c r="U31" s="356"/>
      <c r="V31" s="356"/>
      <c r="W31" s="356"/>
      <c r="X31" s="356"/>
      <c r="Y31" s="356"/>
      <c r="Z31" s="357"/>
      <c r="AA31" s="8"/>
    </row>
    <row r="32" spans="1:27" x14ac:dyDescent="0.4">
      <c r="B32" s="205"/>
      <c r="C32" s="8"/>
      <c r="D32" s="8"/>
      <c r="E32" s="8"/>
      <c r="F32" s="8"/>
      <c r="G32" s="8"/>
      <c r="H32" s="8"/>
      <c r="I32" s="8"/>
      <c r="J32" s="8"/>
      <c r="K32" s="8"/>
      <c r="L32" s="8"/>
      <c r="M32" s="8"/>
      <c r="N32" s="8"/>
      <c r="O32" s="8"/>
      <c r="P32" s="8"/>
      <c r="Q32" s="8"/>
      <c r="R32" s="8"/>
      <c r="S32" s="8"/>
      <c r="T32" s="8"/>
      <c r="U32" s="8"/>
      <c r="V32" s="8"/>
      <c r="W32" s="8"/>
      <c r="X32" s="8"/>
      <c r="Y32" s="8"/>
      <c r="Z32" s="8"/>
      <c r="AA32" s="8"/>
    </row>
    <row r="33" spans="2:27" x14ac:dyDescent="0.4">
      <c r="B33" s="205"/>
      <c r="C33" s="8"/>
      <c r="D33" s="8"/>
      <c r="E33" s="8"/>
      <c r="F33" s="8"/>
      <c r="G33" s="8"/>
      <c r="H33" s="8"/>
      <c r="I33" s="8"/>
      <c r="J33" s="8"/>
      <c r="K33" s="8"/>
      <c r="L33" s="8"/>
      <c r="M33" s="8"/>
      <c r="N33" s="8"/>
      <c r="O33" s="8"/>
      <c r="P33" s="8"/>
      <c r="Q33" s="8"/>
      <c r="R33" s="8"/>
      <c r="S33" s="8"/>
      <c r="T33" s="8"/>
      <c r="U33" s="8"/>
      <c r="V33" s="8"/>
      <c r="W33" s="8"/>
      <c r="X33" s="8"/>
      <c r="Y33" s="8"/>
      <c r="Z33" s="8"/>
      <c r="AA33" s="8"/>
    </row>
    <row r="34" spans="2:27" x14ac:dyDescent="0.4">
      <c r="B34" s="205"/>
      <c r="C34" s="8"/>
      <c r="D34" s="8"/>
      <c r="E34" s="8"/>
      <c r="F34" s="8"/>
      <c r="G34" s="8"/>
      <c r="H34" s="8"/>
      <c r="I34" s="8"/>
      <c r="J34" s="8"/>
      <c r="K34" s="8"/>
      <c r="L34" s="8"/>
      <c r="M34" s="8"/>
      <c r="N34" s="8"/>
      <c r="O34" s="8"/>
      <c r="P34" s="8"/>
      <c r="Q34" s="8"/>
      <c r="R34" s="8"/>
      <c r="S34" s="8"/>
      <c r="T34" s="8"/>
      <c r="U34" s="8"/>
      <c r="V34" s="8"/>
      <c r="W34" s="8"/>
      <c r="X34" s="8"/>
      <c r="Y34" s="8"/>
      <c r="Z34" s="8"/>
      <c r="AA34" s="8"/>
    </row>
    <row r="35" spans="2:27" x14ac:dyDescent="0.4">
      <c r="B35" s="205"/>
      <c r="C35" s="8"/>
      <c r="D35" s="8"/>
      <c r="E35" s="8"/>
      <c r="F35" s="8"/>
      <c r="G35" s="8"/>
      <c r="H35" s="8"/>
      <c r="I35" s="8"/>
      <c r="J35" s="8"/>
      <c r="K35" s="8"/>
      <c r="L35" s="8"/>
      <c r="M35" s="8"/>
      <c r="N35" s="8"/>
      <c r="O35" s="8"/>
      <c r="P35" s="8"/>
      <c r="Q35" s="8"/>
      <c r="R35" s="8"/>
      <c r="S35" s="8"/>
      <c r="T35" s="8"/>
      <c r="U35" s="8"/>
      <c r="V35" s="8"/>
      <c r="W35" s="8"/>
      <c r="X35" s="8"/>
      <c r="Y35" s="8"/>
      <c r="Z35" s="8"/>
      <c r="AA35" s="8"/>
    </row>
    <row r="36" spans="2:27" x14ac:dyDescent="0.4">
      <c r="B36" s="205"/>
      <c r="C36" s="8"/>
      <c r="D36" s="8"/>
      <c r="E36" s="8"/>
      <c r="F36" s="8"/>
      <c r="G36" s="8"/>
      <c r="H36" s="8"/>
      <c r="I36" s="8"/>
      <c r="J36" s="8"/>
      <c r="K36" s="8"/>
      <c r="L36" s="8"/>
      <c r="M36" s="8"/>
      <c r="N36" s="8"/>
      <c r="O36" s="8"/>
      <c r="P36" s="8"/>
      <c r="Q36" s="8"/>
      <c r="R36" s="8"/>
      <c r="S36" s="8"/>
      <c r="T36" s="8"/>
      <c r="U36" s="8"/>
      <c r="V36" s="8"/>
      <c r="W36" s="8"/>
      <c r="X36" s="8"/>
      <c r="Y36" s="8"/>
      <c r="Z36" s="8"/>
      <c r="AA36" s="8"/>
    </row>
  </sheetData>
  <sheetProtection sheet="1" objects="1" scenarios="1"/>
  <mergeCells count="11">
    <mergeCell ref="C5:J6"/>
    <mergeCell ref="C15:Z15"/>
    <mergeCell ref="T7:Z7"/>
    <mergeCell ref="C30:Z31"/>
    <mergeCell ref="V3:Z3"/>
    <mergeCell ref="Y8:Z8"/>
    <mergeCell ref="W8:X8"/>
    <mergeCell ref="W12:Z12"/>
    <mergeCell ref="W17:Z17"/>
    <mergeCell ref="C17:V17"/>
    <mergeCell ref="W13:Z13"/>
  </mergeCells>
  <phoneticPr fontId="2"/>
  <printOptions horizontalCentered="1"/>
  <pageMargins left="0.51181102362204722" right="0.51181102362204722" top="0.55118110236220474" bottom="0.55118110236220474" header="0.31496062992125984" footer="0.31496062992125984"/>
  <pageSetup paperSize="9" scale="9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B09AD-A36D-43B8-9962-916470FA5075}">
  <sheetPr codeName="Sheet7"/>
  <dimension ref="A1:M34"/>
  <sheetViews>
    <sheetView view="pageBreakPreview" topLeftCell="B1" zoomScale="60" zoomScaleNormal="85" workbookViewId="0">
      <selection activeCell="B1" sqref="B1:D1"/>
    </sheetView>
  </sheetViews>
  <sheetFormatPr defaultColWidth="9" defaultRowHeight="13.5" x14ac:dyDescent="0.15"/>
  <cols>
    <col min="1" max="1" width="31.75" style="146" hidden="1" customWidth="1"/>
    <col min="2" max="2" width="7.625" style="22" customWidth="1"/>
    <col min="3" max="3" width="11.125" style="22" bestFit="1" customWidth="1"/>
    <col min="4" max="4" width="24.5" style="23" customWidth="1"/>
    <col min="5" max="5" width="82" style="23" customWidth="1"/>
    <col min="6" max="6" width="8" style="23" customWidth="1"/>
    <col min="7" max="7" width="5.875" style="23" customWidth="1"/>
    <col min="8" max="8" width="9" style="23"/>
    <col min="9" max="9" width="56.75" style="104" customWidth="1"/>
    <col min="10" max="16384" width="9" style="23"/>
  </cols>
  <sheetData>
    <row r="1" spans="1:13" ht="60.75" customHeight="1" x14ac:dyDescent="0.15">
      <c r="B1" s="372" t="s">
        <v>82</v>
      </c>
      <c r="C1" s="372"/>
      <c r="D1" s="372"/>
      <c r="E1" s="115" t="str">
        <f>基本情報入力!$C$24&amp;"　様"</f>
        <v>　様</v>
      </c>
      <c r="F1" s="371" t="str">
        <f>IFERROR(VLOOKUP($B$1,送付状!$B$18:$O$28,2,FALSE),"")</f>
        <v/>
      </c>
      <c r="G1" s="371"/>
      <c r="I1" s="23"/>
    </row>
    <row r="2" spans="1:13" ht="24" hidden="1" customHeight="1" x14ac:dyDescent="0.15">
      <c r="B2" s="115"/>
      <c r="C2" s="115"/>
      <c r="D2" s="115"/>
      <c r="E2" s="115"/>
      <c r="F2" s="115"/>
      <c r="G2" s="115"/>
      <c r="I2" s="23"/>
    </row>
    <row r="3" spans="1:13" ht="24" hidden="1" customHeight="1" x14ac:dyDescent="0.15">
      <c r="B3" s="115"/>
      <c r="C3" s="115"/>
      <c r="D3" s="115"/>
      <c r="E3" s="115"/>
      <c r="F3" s="115"/>
      <c r="G3" s="115"/>
      <c r="I3" s="23"/>
    </row>
    <row r="4" spans="1:13" ht="24" hidden="1" customHeight="1" x14ac:dyDescent="0.15">
      <c r="B4" s="115"/>
      <c r="C4" s="115"/>
      <c r="D4" s="115"/>
      <c r="E4" s="115"/>
      <c r="F4" s="115"/>
      <c r="G4" s="115"/>
      <c r="I4" s="23"/>
    </row>
    <row r="5" spans="1:13" ht="24" hidden="1" customHeight="1" x14ac:dyDescent="0.15">
      <c r="B5" s="115"/>
      <c r="C5" s="115"/>
      <c r="D5" s="115"/>
      <c r="E5" s="115"/>
      <c r="F5" s="115"/>
      <c r="G5" s="115"/>
      <c r="I5" s="23"/>
    </row>
    <row r="6" spans="1:13" ht="31.5" customHeight="1" x14ac:dyDescent="0.15">
      <c r="B6" s="370" t="s">
        <v>555</v>
      </c>
      <c r="C6" s="370"/>
      <c r="D6" s="370"/>
      <c r="E6" s="370"/>
      <c r="F6" s="370"/>
      <c r="G6" s="370"/>
      <c r="I6" s="23"/>
    </row>
    <row r="7" spans="1:13" s="99" customFormat="1" ht="48" customHeight="1" x14ac:dyDescent="0.2">
      <c r="A7" s="156"/>
      <c r="B7" s="112" t="s">
        <v>243</v>
      </c>
      <c r="C7" s="98"/>
      <c r="D7" s="98"/>
      <c r="E7" s="98"/>
      <c r="F7" s="98"/>
      <c r="G7" s="98"/>
      <c r="H7" s="23"/>
      <c r="I7" s="23"/>
      <c r="J7" s="23"/>
    </row>
    <row r="8" spans="1:13" ht="50.1" customHeight="1" x14ac:dyDescent="0.15">
      <c r="B8" s="26" t="s">
        <v>83</v>
      </c>
      <c r="C8" s="26" t="s">
        <v>242</v>
      </c>
      <c r="D8" s="26" t="s">
        <v>85</v>
      </c>
      <c r="E8" s="26" t="s">
        <v>244</v>
      </c>
      <c r="F8" s="366" t="s">
        <v>245</v>
      </c>
      <c r="G8" s="367"/>
      <c r="I8" s="23"/>
    </row>
    <row r="9" spans="1:13" ht="60" customHeight="1" x14ac:dyDescent="0.15">
      <c r="A9" s="209" t="str">
        <f>$D9&amp;""</f>
        <v>契約書</v>
      </c>
      <c r="B9" s="152" t="str">
        <f>IF($F9="","","□")</f>
        <v>□</v>
      </c>
      <c r="C9" s="152" t="str" cm="1">
        <f t="array" ref="C9:D15">_xlfn._xlws.FILTER(基本情報入力!$F$9:$G$19,基本情報入力!$I$9:$I$19,"")</f>
        <v>⑴</v>
      </c>
      <c r="D9" s="111" t="str">
        <v>契約書</v>
      </c>
      <c r="E9" s="223" t="str">
        <f>IFERROR(VLOOKUP($D9,基本情報入力!AA$72:AB$109,2,FALSE),"")</f>
        <v>ご署名のうえ、1通をお手元に保管いただき、残り1通をご返送願います。</v>
      </c>
      <c r="F9" s="197" cm="1">
        <f t="array" ref="F9">_xlfn.IFS($D9="委任状",基本情報入力!$B$17,$D9="","",TRUE,1)</f>
        <v>1</v>
      </c>
      <c r="G9" s="225" t="str">
        <f>IF($F9="","","通")</f>
        <v>通</v>
      </c>
      <c r="I9" s="23"/>
    </row>
    <row r="10" spans="1:13" ht="60" customHeight="1" x14ac:dyDescent="0.15">
      <c r="A10" s="209" t="str">
        <f t="shared" ref="A10:A19" si="0">$D10&amp;""</f>
        <v>重要事項説明書</v>
      </c>
      <c r="B10" s="152" t="str">
        <f t="shared" ref="B10:B19" si="1">IF($F10="","","□")</f>
        <v>□</v>
      </c>
      <c r="C10" s="152" t="str">
        <v>⑵</v>
      </c>
      <c r="D10" s="110" t="str">
        <v>重要事項説明書</v>
      </c>
      <c r="E10" s="223" t="str">
        <f>IFERROR(VLOOKUP($D10,基本情報入力!AA$72:AB$109,2,FALSE),"")</f>
        <v>ご署名のうえ、1通をお手元に保管いただき、残り1通をご返送願います。</v>
      </c>
      <c r="F10" s="197" cm="1">
        <f t="array" ref="F10">_xlfn.IFS($D10="委任状",基本情報入力!$B$17,$D10="","",TRUE,1)</f>
        <v>1</v>
      </c>
      <c r="G10" s="225" t="str">
        <f t="shared" ref="G10:G19" si="2">IF($F10="","","通")</f>
        <v>通</v>
      </c>
      <c r="I10" s="106"/>
    </row>
    <row r="11" spans="1:13" ht="60" customHeight="1" x14ac:dyDescent="0.15">
      <c r="A11" s="209" t="str">
        <f t="shared" si="0"/>
        <v>相続手続き業務に関する確認事項</v>
      </c>
      <c r="B11" s="152" t="str">
        <f t="shared" si="1"/>
        <v>□</v>
      </c>
      <c r="C11" s="152" t="str">
        <v>⑶</v>
      </c>
      <c r="D11" s="110" t="str">
        <v>相続手続き業務に関する確認事項</v>
      </c>
      <c r="E11" s="223" t="str">
        <f>IFERROR(VLOOKUP($D11,基本情報入力!AA$72:AB$109,2,FALSE),"")</f>
        <v>各項目をご確認いただきチェックボックスにレ点を入れてください。全ての項目にレ点を入れ終えましたら、下部の署名欄にご署名のうえ、1通をお手元に保管いただき、残り1通をご返送願います。</v>
      </c>
      <c r="F11" s="197" cm="1">
        <f t="array" ref="F11">_xlfn.IFS($D11="委任状",基本情報入力!$B$17,$D11="","",TRUE,1)</f>
        <v>1</v>
      </c>
      <c r="G11" s="225" t="str">
        <f t="shared" si="2"/>
        <v>通</v>
      </c>
      <c r="I11" s="106"/>
    </row>
    <row r="12" spans="1:13" ht="60" customHeight="1" x14ac:dyDescent="0.15">
      <c r="A12" s="209" t="str">
        <f t="shared" si="0"/>
        <v>委任状</v>
      </c>
      <c r="B12" s="152" t="str">
        <f t="shared" si="1"/>
        <v>□</v>
      </c>
      <c r="C12" s="152" t="str">
        <v>⑷</v>
      </c>
      <c r="D12" s="110" t="str">
        <v>委任状</v>
      </c>
      <c r="E12" s="223" t="str">
        <f>IFERROR(VLOOKUP($D12,基本情報入力!AA$72:AB$109,2,FALSE),"")</f>
        <v>ご署名ご捺印（実印）のうえ、ご返送願います。</v>
      </c>
      <c r="F12" s="197" cm="1">
        <f t="array" ref="F12">_xlfn.IFS($D12="委任状",基本情報入力!$B$17,$D12="","",TRUE,1)</f>
        <v>0</v>
      </c>
      <c r="G12" s="225" t="str">
        <f t="shared" si="2"/>
        <v>通</v>
      </c>
      <c r="I12" s="106"/>
    </row>
    <row r="13" spans="1:13" ht="60" customHeight="1" x14ac:dyDescent="0.15">
      <c r="A13" s="209" t="str">
        <f t="shared" si="0"/>
        <v>口座の凍結についての確認書</v>
      </c>
      <c r="B13" s="152" t="str">
        <f t="shared" si="1"/>
        <v>□</v>
      </c>
      <c r="C13" s="152" t="str">
        <v>⑸</v>
      </c>
      <c r="D13" s="110" t="str">
        <v>口座の凍結についての確認書</v>
      </c>
      <c r="E13" s="223" t="str">
        <f>IFERROR(VLOOKUP($D13,基本情報入力!AA$72:AB$109,2,FALSE),"")</f>
        <v>記載の通りにご対応のうえ、ご返送願います。</v>
      </c>
      <c r="F13" s="197" cm="1">
        <f t="array" ref="F13">_xlfn.IFS($D13="委任状",基本情報入力!$B$17,$D13="","",TRUE,1)</f>
        <v>1</v>
      </c>
      <c r="G13" s="225" t="str">
        <f t="shared" si="2"/>
        <v>通</v>
      </c>
      <c r="I13" s="106"/>
      <c r="J13" s="18"/>
      <c r="M13" s="36"/>
    </row>
    <row r="14" spans="1:13" ht="60" customHeight="1" x14ac:dyDescent="0.15">
      <c r="A14" s="209" t="str">
        <f t="shared" si="0"/>
        <v>不動産・金融機関情報一覧</v>
      </c>
      <c r="B14" s="152" t="str">
        <f>IF($F14="","","□")</f>
        <v>□</v>
      </c>
      <c r="C14" s="152" t="str">
        <v>⑹</v>
      </c>
      <c r="D14" s="110" t="str">
        <v>不動産・金融機関情報一覧</v>
      </c>
      <c r="E14" s="223" t="str">
        <f>IFERROR(VLOOKUP($D14,基本情報入力!AA$72:AB$109,2,FALSE),"")</f>
        <v xml:space="preserve">弊社へご依頼いただく不動産と金融機関の一覧となります。もしもご依頼数に増減がある場合は、こちらの書面に追記願います。
</v>
      </c>
      <c r="F14" s="197" cm="1">
        <f t="array" ref="F14">_xlfn.IFS($D14="委任状",基本情報入力!$B$17,$D14="","",TRUE,1)</f>
        <v>1</v>
      </c>
      <c r="G14" s="225" t="str">
        <f t="shared" si="2"/>
        <v>通</v>
      </c>
      <c r="I14" s="106"/>
    </row>
    <row r="15" spans="1:13" ht="60" customHeight="1" x14ac:dyDescent="0.15">
      <c r="A15" s="209" t="str">
        <f t="shared" si="0"/>
        <v>戸籍関係情報</v>
      </c>
      <c r="B15" s="152" t="str">
        <f t="shared" si="1"/>
        <v>□</v>
      </c>
      <c r="C15" s="152" t="str">
        <v>⑺</v>
      </c>
      <c r="D15" s="110" t="str">
        <v>戸籍関係情報</v>
      </c>
      <c r="E15" s="223" t="str">
        <f>IFERROR(VLOOKUP($D15,基本情報入力!AA$72:AB$109,2,FALSE),"")</f>
        <v>わかる範囲でご記入願います。
※ご住所、本籍地、筆頭者が不明の場合、通常より戸籍収集にお時間を要する場合がございますこと、予めご了承ください。</v>
      </c>
      <c r="F15" s="197" cm="1">
        <f t="array" ref="F15">_xlfn.IFS($D15="委任状",基本情報入力!$B$17,$D15="","",TRUE,1)</f>
        <v>1</v>
      </c>
      <c r="G15" s="225" t="str">
        <f t="shared" si="2"/>
        <v>通</v>
      </c>
      <c r="I15" s="106"/>
    </row>
    <row r="16" spans="1:13" ht="60" customHeight="1" x14ac:dyDescent="0.15">
      <c r="A16" s="209" t="str">
        <f t="shared" si="0"/>
        <v/>
      </c>
      <c r="B16" s="152" t="str">
        <f t="shared" si="1"/>
        <v/>
      </c>
      <c r="C16" s="152"/>
      <c r="D16" s="110"/>
      <c r="E16" s="223" t="str">
        <f>IFERROR(VLOOKUP($D16,基本情報入力!AA$72:AB$109,2,FALSE),"")</f>
        <v/>
      </c>
      <c r="F16" s="197" t="str" cm="1">
        <f t="array" ref="F16">_xlfn.IFS($D16="委任状",基本情報入力!$B$17,$D16="","",TRUE,1)</f>
        <v/>
      </c>
      <c r="G16" s="225" t="str">
        <f t="shared" si="2"/>
        <v/>
      </c>
      <c r="I16" s="106"/>
    </row>
    <row r="17" spans="1:9" ht="60" customHeight="1" x14ac:dyDescent="0.15">
      <c r="A17" s="146" t="str">
        <f t="shared" si="0"/>
        <v/>
      </c>
      <c r="B17" s="152" t="str">
        <f t="shared" si="1"/>
        <v/>
      </c>
      <c r="C17" s="152"/>
      <c r="D17" s="110"/>
      <c r="E17" s="223" t="str">
        <f>IFERROR(VLOOKUP($D17,基本情報入力!AA$72:AB$109,2,FALSE),"")</f>
        <v/>
      </c>
      <c r="F17" s="197" t="str" cm="1">
        <f t="array" ref="F17">_xlfn.IFS($D17="委任状",基本情報入力!$B$17,$D17="","",TRUE,1)</f>
        <v/>
      </c>
      <c r="G17" s="225" t="str">
        <f t="shared" si="2"/>
        <v/>
      </c>
      <c r="I17" s="106"/>
    </row>
    <row r="18" spans="1:9" ht="60" customHeight="1" x14ac:dyDescent="0.15">
      <c r="A18" s="146" t="str">
        <f t="shared" si="0"/>
        <v/>
      </c>
      <c r="B18" s="152" t="str">
        <f t="shared" si="1"/>
        <v/>
      </c>
      <c r="C18" s="152"/>
      <c r="D18" s="110"/>
      <c r="E18" s="223" t="str">
        <f>IFERROR(VLOOKUP($D18,基本情報入力!AA$72:AB$109,2,FALSE),"")</f>
        <v/>
      </c>
      <c r="F18" s="197" t="str" cm="1">
        <f t="array" ref="F18">_xlfn.IFS($D18="委任状",基本情報入力!$B$17,$D18="","",TRUE,1)</f>
        <v/>
      </c>
      <c r="G18" s="225" t="str">
        <f t="shared" si="2"/>
        <v/>
      </c>
      <c r="I18" s="106"/>
    </row>
    <row r="19" spans="1:9" ht="60" customHeight="1" x14ac:dyDescent="0.15">
      <c r="A19" s="146" t="str">
        <f t="shared" si="0"/>
        <v/>
      </c>
      <c r="B19" s="152" t="str">
        <f t="shared" si="1"/>
        <v/>
      </c>
      <c r="C19" s="152"/>
      <c r="D19" s="110"/>
      <c r="E19" s="223" t="str">
        <f>IFERROR(VLOOKUP($D19,基本情報入力!AA$72:AB$109,2,FALSE),"")</f>
        <v/>
      </c>
      <c r="F19" s="197" t="str" cm="1">
        <f t="array" ref="F19">_xlfn.IFS($D19="委任状",基本情報入力!$B$17,$D19="","",TRUE,1)</f>
        <v/>
      </c>
      <c r="G19" s="225" t="str">
        <f t="shared" si="2"/>
        <v/>
      </c>
      <c r="I19" s="106"/>
    </row>
    <row r="20" spans="1:9" s="99" customFormat="1" ht="42.75" customHeight="1" x14ac:dyDescent="0.2">
      <c r="A20" s="156"/>
      <c r="B20" s="113" t="s">
        <v>453</v>
      </c>
      <c r="C20" s="100"/>
      <c r="D20" s="101"/>
      <c r="E20" s="102"/>
      <c r="F20" s="103"/>
      <c r="G20" s="103"/>
      <c r="I20" s="105"/>
    </row>
    <row r="21" spans="1:9" ht="50.1" customHeight="1" x14ac:dyDescent="0.15">
      <c r="B21" s="26" t="s">
        <v>83</v>
      </c>
      <c r="C21" s="368" t="s">
        <v>85</v>
      </c>
      <c r="D21" s="369"/>
      <c r="E21" s="26" t="s">
        <v>244</v>
      </c>
      <c r="F21" s="366" t="s">
        <v>245</v>
      </c>
      <c r="G21" s="367"/>
    </row>
    <row r="22" spans="1:9" ht="63" customHeight="1" x14ac:dyDescent="0.15">
      <c r="A22" s="146" t="str" cm="1">
        <f t="array" ref="A22">_xlfn._xlws.FILTER(基本情報入力!$R$22:$R$26,基本情報入力!$Q$22:$Q$26,"")</f>
        <v>印鑑証明書（原本）</v>
      </c>
      <c r="B22" s="154" t="str">
        <f>IF($F22="","","□")</f>
        <v>□</v>
      </c>
      <c r="C22" s="364" t="str">
        <f>A22&amp;""</f>
        <v>印鑑証明書（原本）</v>
      </c>
      <c r="D22" s="365"/>
      <c r="E22" s="224" t="str">
        <f>IFERROR(VLOOKUP($C22,基本情報入力!AC$72:AD$109,2,FALSE),"")</f>
        <v>　様の約1ヵ月以内に発行した印鑑証明書を右記通数ご返送願います。※マイナンバーカードがあれば、コンビニ取得可能です</v>
      </c>
      <c r="F22" s="198" cm="1">
        <f t="array" ref="F22">_xlfn.IFS($C22=基本情報入力!$AC$72,基本情報入力!$B$18,$C22="","",$C22=基本情報入力!AC$75,"各1",$C22=基本情報入力!$AC$76,"すべて",$C22=基本情報入力!$AC$78,基本情報入力!$B$18,TRUE,1)</f>
        <v>0</v>
      </c>
      <c r="G22" s="225" t="str" cm="1">
        <f t="array" ref="G22">_xlfn.IFS($F22="","",$F22="すべて","",TRUE,"通")</f>
        <v>通</v>
      </c>
      <c r="I22" s="155"/>
    </row>
    <row r="23" spans="1:9" ht="63" customHeight="1" x14ac:dyDescent="0.15">
      <c r="B23" s="154" t="str">
        <f t="shared" ref="B23:B26" si="3">IF($F23="","","□")</f>
        <v/>
      </c>
      <c r="C23" s="364" t="str">
        <f t="shared" ref="C23:C25" si="4">A23&amp;""</f>
        <v/>
      </c>
      <c r="D23" s="365"/>
      <c r="E23" s="224" t="str">
        <f>IFERROR(VLOOKUP($C23,基本情報入力!AC$72:AD$109,2,FALSE),"")</f>
        <v/>
      </c>
      <c r="F23" s="198" t="str" cm="1">
        <f t="array" ref="F23">_xlfn.IFS($C23=基本情報入力!$AC$72,基本情報入力!$B$18,$C23="","",$C23=基本情報入力!AC$75,"各1",$C23=基本情報入力!$AC$76,"すべて",$C23=基本情報入力!$AC$78,基本情報入力!$B$18,TRUE,1)</f>
        <v/>
      </c>
      <c r="G23" s="225" t="str" cm="1">
        <f t="array" ref="G23">_xlfn.IFS($F23="","",$F23="すべて","",TRUE,"通")</f>
        <v/>
      </c>
      <c r="I23" s="155"/>
    </row>
    <row r="24" spans="1:9" ht="63" customHeight="1" x14ac:dyDescent="0.15">
      <c r="B24" s="154" t="str">
        <f t="shared" si="3"/>
        <v/>
      </c>
      <c r="C24" s="364" t="str">
        <f t="shared" si="4"/>
        <v/>
      </c>
      <c r="D24" s="365"/>
      <c r="E24" s="224" t="str">
        <f>IFERROR(VLOOKUP($C24,基本情報入力!AC$72:AD$109,2,FALSE),"")</f>
        <v/>
      </c>
      <c r="F24" s="198" t="str" cm="1">
        <f t="array" ref="F24">_xlfn.IFS($C24=基本情報入力!$AC$72,基本情報入力!$B$18,$C24="","",$C24=基本情報入力!AC$75,"各1",$C24=基本情報入力!$AC$76,"すべて",$C24=基本情報入力!$AC$78,基本情報入力!$B$18,TRUE,1)</f>
        <v/>
      </c>
      <c r="G24" s="225" t="str" cm="1">
        <f t="array" ref="G24">_xlfn.IFS($F24="","",$F24="すべて","",TRUE,"通")</f>
        <v/>
      </c>
      <c r="I24" s="155"/>
    </row>
    <row r="25" spans="1:9" ht="63" customHeight="1" x14ac:dyDescent="0.15">
      <c r="B25" s="154" t="str">
        <f t="shared" si="3"/>
        <v/>
      </c>
      <c r="C25" s="364" t="str">
        <f t="shared" si="4"/>
        <v/>
      </c>
      <c r="D25" s="365"/>
      <c r="E25" s="224" t="str">
        <f>IFERROR(VLOOKUP($C25,基本情報入力!AC$72:AD$109,2,FALSE),"")</f>
        <v/>
      </c>
      <c r="F25" s="198" t="str" cm="1">
        <f t="array" ref="F25">_xlfn.IFS($C25=基本情報入力!$AC$72,基本情報入力!$B$18,$C25="","",$C25=基本情報入力!AC$75,"各1",$C25=基本情報入力!$AC$76,"すべて",$C25=基本情報入力!$AC$78,基本情報入力!$B$18,TRUE,1)</f>
        <v/>
      </c>
      <c r="G25" s="225" t="str" cm="1">
        <f t="array" ref="G25">_xlfn.IFS($F25="","",$F25="すべて","",TRUE,"通")</f>
        <v/>
      </c>
      <c r="I25" s="155"/>
    </row>
    <row r="26" spans="1:9" ht="63" customHeight="1" x14ac:dyDescent="0.15">
      <c r="B26" s="154" t="str">
        <f t="shared" si="3"/>
        <v/>
      </c>
      <c r="C26" s="364" t="str">
        <f>A26&amp;""</f>
        <v/>
      </c>
      <c r="D26" s="365"/>
      <c r="E26" s="224" t="str">
        <f>IFERROR(VLOOKUP($C26,基本情報入力!AC$72:AD$109,2,FALSE),"")</f>
        <v/>
      </c>
      <c r="F26" s="198" t="str" cm="1">
        <f t="array" ref="F26">_xlfn.IFS($C26=基本情報入力!$AC$72,基本情報入力!$B$18,$C26="","",$C26=基本情報入力!AC$75,"各1",$C26=基本情報入力!$AC$76,"すべて",$C26=基本情報入力!$AC$78,基本情報入力!$B$18,TRUE,1)</f>
        <v/>
      </c>
      <c r="G26" s="225" t="str" cm="1">
        <f t="array" ref="G26">_xlfn.IFS($F26="","",$F26="すべて","",TRUE,"通")</f>
        <v/>
      </c>
    </row>
    <row r="27" spans="1:9" ht="63" customHeight="1" x14ac:dyDescent="0.15"/>
    <row r="28" spans="1:9" ht="63" customHeight="1" x14ac:dyDescent="0.15"/>
    <row r="29" spans="1:9" ht="63" customHeight="1" x14ac:dyDescent="0.15"/>
    <row r="30" spans="1:9" ht="63" customHeight="1" x14ac:dyDescent="0.15"/>
    <row r="31" spans="1:9" ht="63" customHeight="1" x14ac:dyDescent="0.15"/>
    <row r="32" spans="1:9" ht="63" customHeight="1" x14ac:dyDescent="0.15"/>
    <row r="33" ht="63" customHeight="1" x14ac:dyDescent="0.15"/>
    <row r="34" ht="63" customHeight="1" x14ac:dyDescent="0.15"/>
  </sheetData>
  <sheetProtection sheet="1" objects="1" scenarios="1"/>
  <mergeCells count="11">
    <mergeCell ref="B6:G6"/>
    <mergeCell ref="F8:G8"/>
    <mergeCell ref="F1:G1"/>
    <mergeCell ref="B1:D1"/>
    <mergeCell ref="C25:D25"/>
    <mergeCell ref="C26:D26"/>
    <mergeCell ref="F21:G21"/>
    <mergeCell ref="C21:D21"/>
    <mergeCell ref="C22:D22"/>
    <mergeCell ref="C23:D23"/>
    <mergeCell ref="C24:D24"/>
  </mergeCells>
  <phoneticPr fontId="2"/>
  <printOptions horizontalCentered="1"/>
  <pageMargins left="0.51181102362204722" right="0.51181102362204722" top="0.55118110236220474" bottom="0.55118110236220474" header="0.31496062992125984" footer="0.31496062992125984"/>
  <pageSetup paperSize="9" scale="61"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76E8-EA5E-4B1D-BC2E-4F2AF86D09ED}">
  <sheetPr codeName="Sheet9"/>
  <dimension ref="A1:K49"/>
  <sheetViews>
    <sheetView view="pageBreakPreview" zoomScale="90" zoomScaleNormal="100" zoomScaleSheetLayoutView="90" workbookViewId="0">
      <selection activeCell="K10" sqref="K10"/>
    </sheetView>
  </sheetViews>
  <sheetFormatPr defaultRowHeight="18.75" x14ac:dyDescent="0.4"/>
  <cols>
    <col min="1" max="1" width="4" customWidth="1"/>
    <col min="2" max="2" width="5.5" customWidth="1"/>
    <col min="3" max="3" width="2" customWidth="1"/>
    <col min="4" max="4" width="12.125" customWidth="1"/>
    <col min="5" max="5" width="3.875" customWidth="1"/>
    <col min="6" max="6" width="12.75" customWidth="1"/>
    <col min="7" max="7" width="14.5" customWidth="1"/>
    <col min="8" max="8" width="5.5" customWidth="1"/>
    <col min="9" max="9" width="10.25" customWidth="1"/>
    <col min="10" max="10" width="7.25" customWidth="1"/>
    <col min="11" max="11" width="5.625" customWidth="1"/>
    <col min="12" max="12" width="55.875" customWidth="1"/>
  </cols>
  <sheetData>
    <row r="1" spans="1:11" ht="12.75" customHeight="1" x14ac:dyDescent="0.4">
      <c r="A1" s="18"/>
      <c r="B1" s="18"/>
      <c r="C1" s="18"/>
      <c r="D1" s="18"/>
      <c r="E1" s="18"/>
      <c r="F1" s="18"/>
      <c r="G1" s="18"/>
      <c r="H1" s="18"/>
      <c r="I1" s="18"/>
      <c r="J1" s="375" t="str">
        <f>IFERROR(VLOOKUP($D$2,送付状!$B$18:$O$28,2,FALSE),"")</f>
        <v>⑷</v>
      </c>
      <c r="K1" s="375"/>
    </row>
    <row r="2" spans="1:11" ht="21" customHeight="1" x14ac:dyDescent="0.4">
      <c r="A2" s="147"/>
      <c r="B2" s="147"/>
      <c r="C2" s="147"/>
      <c r="D2" s="374" t="s">
        <v>324</v>
      </c>
      <c r="E2" s="374"/>
      <c r="F2" s="374"/>
      <c r="G2" s="374"/>
      <c r="H2" s="374"/>
      <c r="I2" s="374"/>
      <c r="J2" s="375"/>
      <c r="K2" s="375"/>
    </row>
    <row r="3" spans="1:11" ht="6" customHeight="1" x14ac:dyDescent="0.4">
      <c r="A3" s="18"/>
      <c r="B3" s="18"/>
      <c r="C3" s="18"/>
      <c r="D3" s="18"/>
      <c r="E3" s="18"/>
      <c r="F3" s="18"/>
      <c r="G3" s="18"/>
      <c r="H3" s="18"/>
      <c r="I3" s="18"/>
      <c r="J3" s="18"/>
      <c r="K3" s="18"/>
    </row>
    <row r="4" spans="1:11" x14ac:dyDescent="0.4">
      <c r="A4" s="382" t="s">
        <v>87</v>
      </c>
      <c r="B4" s="382"/>
      <c r="C4" s="382"/>
      <c r="D4" s="382"/>
      <c r="E4" s="18" t="str">
        <f>基本情報入力!$P72&amp;""</f>
        <v>東京都中央区八重洲1-7-20</v>
      </c>
      <c r="G4" s="18"/>
      <c r="I4" s="18" t="str">
        <f>基本情報入力!$R72&amp;""</f>
        <v>03-6868-8328</v>
      </c>
      <c r="J4" s="18"/>
      <c r="K4" s="18"/>
    </row>
    <row r="5" spans="1:11" x14ac:dyDescent="0.15">
      <c r="A5" s="383" t="s">
        <v>88</v>
      </c>
      <c r="B5" s="383"/>
      <c r="C5" s="383"/>
      <c r="D5" s="383"/>
      <c r="E5" s="18" t="str">
        <f>基本情報入力!$P73&amp;""</f>
        <v>東京都新宿区西新宿2-7-1</v>
      </c>
      <c r="G5" s="23"/>
      <c r="I5" s="18" t="str">
        <f>基本情報入力!$R73&amp;""</f>
        <v>03-6868-8941</v>
      </c>
      <c r="J5" s="23"/>
      <c r="K5" s="23"/>
    </row>
    <row r="6" spans="1:11" x14ac:dyDescent="0.4">
      <c r="A6" s="18"/>
      <c r="B6" s="18"/>
      <c r="C6" s="18"/>
      <c r="D6" s="18"/>
      <c r="E6" s="18" t="str">
        <f>基本情報入力!$P74&amp;""</f>
        <v>神奈川県横浜市神奈川区鶴屋町2-12-5</v>
      </c>
      <c r="G6" s="18"/>
      <c r="I6" s="18" t="str">
        <f>基本情報入力!$R74&amp;""</f>
        <v>045-550-4249</v>
      </c>
      <c r="J6" s="18"/>
      <c r="K6" s="18"/>
    </row>
    <row r="7" spans="1:11" x14ac:dyDescent="0.4">
      <c r="A7" s="18"/>
      <c r="B7" s="18"/>
      <c r="C7" s="18"/>
      <c r="D7" s="18"/>
      <c r="E7" s="18" t="str">
        <f>基本情報入力!$P75&amp;""</f>
        <v>愛知県名古屋市中区栄3-2-3</v>
      </c>
      <c r="G7" s="18"/>
      <c r="I7" s="18" t="str">
        <f>基本情報入力!$R75&amp;""</f>
        <v>052-766-5024</v>
      </c>
      <c r="J7" s="18"/>
      <c r="K7" s="18"/>
    </row>
    <row r="8" spans="1:11" x14ac:dyDescent="0.4">
      <c r="A8" s="18"/>
      <c r="B8" s="18"/>
      <c r="C8" s="18"/>
      <c r="D8" s="18"/>
      <c r="E8" s="18" t="str">
        <f>基本情報入力!$P76&amp;""</f>
        <v>大阪府大阪市北区中之島2-2-2</v>
      </c>
      <c r="G8" s="18"/>
      <c r="I8" s="18" t="str">
        <f>基本情報入力!$R76&amp;""</f>
        <v>06-7878-4155</v>
      </c>
      <c r="J8" s="18"/>
      <c r="K8" s="18"/>
    </row>
    <row r="9" spans="1:11" ht="9.75" customHeight="1" x14ac:dyDescent="0.4">
      <c r="A9" s="25"/>
      <c r="B9" s="25"/>
      <c r="C9" s="25"/>
      <c r="D9" s="25"/>
      <c r="E9" s="25"/>
      <c r="G9" s="25"/>
      <c r="I9" s="25"/>
      <c r="J9" s="27"/>
      <c r="K9" s="25"/>
    </row>
    <row r="10" spans="1:11" x14ac:dyDescent="0.4">
      <c r="A10" s="378" t="s">
        <v>128</v>
      </c>
      <c r="B10" s="378"/>
      <c r="D10" s="25" t="s">
        <v>89</v>
      </c>
    </row>
    <row r="11" spans="1:11" x14ac:dyDescent="0.4">
      <c r="A11" s="378" t="s">
        <v>90</v>
      </c>
      <c r="B11" s="378"/>
      <c r="D11" s="25" t="str">
        <f>基本情報入力!I72</f>
        <v>清水茜作</v>
      </c>
    </row>
    <row r="12" spans="1:11" ht="18.75" customHeight="1" x14ac:dyDescent="0.4">
      <c r="A12" s="373" t="s">
        <v>91</v>
      </c>
      <c r="B12" s="373"/>
      <c r="D12" s="384" t="str">
        <f>_xlfn.CONCAT(基本情報入力!$J$72:$J$175)</f>
        <v>浅倉貴行　西田竜介　藤本義昌　石川綾子　吉田幸寛　金井佑介　布施祐太郎　栗原大輔　石井祐貴　柴田彩香　松本拓弥　森町翼　中島絵里　小島文子　福岡なつみ　原山裕規　　　　　　　　</v>
      </c>
      <c r="E12" s="384"/>
      <c r="F12" s="384"/>
      <c r="G12" s="384"/>
      <c r="H12" s="384"/>
      <c r="I12" s="384"/>
      <c r="J12" s="384"/>
      <c r="K12" s="384"/>
    </row>
    <row r="13" spans="1:11" ht="8.25" customHeight="1" x14ac:dyDescent="0.4">
      <c r="A13" s="373"/>
      <c r="B13" s="373"/>
      <c r="D13" s="384"/>
      <c r="E13" s="384"/>
      <c r="F13" s="384"/>
      <c r="G13" s="384"/>
      <c r="H13" s="384"/>
      <c r="I13" s="384"/>
      <c r="J13" s="384"/>
      <c r="K13" s="384"/>
    </row>
    <row r="14" spans="1:11" ht="18.75" customHeight="1" x14ac:dyDescent="0.4">
      <c r="A14" s="373" t="s">
        <v>92</v>
      </c>
      <c r="B14" s="373"/>
      <c r="D14" s="385" t="str">
        <f>_xlfn.CONCAT(基本情報入力!$K$72:$K$171)</f>
        <v>池田絢音　増田千尋　川原千里　山崎宇紗子　君島絵梨　青柳由里子　山口知代　増田波輝　佐竹彩　佐野雅絵　宮城明香　丸山慧子　森中絵梨佳　東三条佑圭梨　小森和正　米田由香　菊川智恵子　宇野綾華　南香南江　土田修平　亀岡菜摘　白金大翔　三宅真莉奈　梅田奈央　芦田昭子　安西伽奈美　宮持玲那　進藤莉花　司馬里美　辻充代　植田愛望　土居八千代</v>
      </c>
      <c r="E14" s="385"/>
      <c r="F14" s="385"/>
      <c r="G14" s="385"/>
      <c r="H14" s="385"/>
      <c r="I14" s="385"/>
      <c r="J14" s="385"/>
      <c r="K14" s="385"/>
    </row>
    <row r="15" spans="1:11" x14ac:dyDescent="0.4">
      <c r="A15" s="373"/>
      <c r="B15" s="373"/>
      <c r="D15" s="385"/>
      <c r="E15" s="385"/>
      <c r="F15" s="385"/>
      <c r="G15" s="385"/>
      <c r="H15" s="385"/>
      <c r="I15" s="385"/>
      <c r="J15" s="385"/>
      <c r="K15" s="385"/>
    </row>
    <row r="16" spans="1:11" ht="2.25" customHeight="1" x14ac:dyDescent="0.4">
      <c r="A16" s="144"/>
      <c r="B16" s="144"/>
      <c r="D16" s="385"/>
      <c r="E16" s="385"/>
      <c r="F16" s="385"/>
      <c r="G16" s="385"/>
      <c r="H16" s="385"/>
      <c r="I16" s="385"/>
      <c r="J16" s="385"/>
      <c r="K16" s="385"/>
    </row>
    <row r="17" spans="1:11" ht="26.25" customHeight="1" x14ac:dyDescent="0.4">
      <c r="A17" s="380" t="s">
        <v>384</v>
      </c>
      <c r="B17" s="380"/>
      <c r="C17" s="380"/>
      <c r="D17" s="380"/>
      <c r="E17" s="380"/>
      <c r="F17" s="380"/>
      <c r="G17" s="30" t="str">
        <f>基本情報入力!$C$23&amp;""</f>
        <v/>
      </c>
      <c r="H17" s="380" t="s">
        <v>330</v>
      </c>
      <c r="I17" s="380"/>
      <c r="J17" s="380"/>
      <c r="K17" s="380"/>
    </row>
    <row r="18" spans="1:11" x14ac:dyDescent="0.4">
      <c r="A18" s="381" t="s">
        <v>129</v>
      </c>
      <c r="B18" s="381"/>
      <c r="C18" s="381"/>
      <c r="D18" s="381"/>
      <c r="E18" s="381"/>
      <c r="F18" s="381"/>
      <c r="G18" s="381"/>
      <c r="H18" s="381"/>
      <c r="I18" s="381"/>
      <c r="J18" s="381"/>
    </row>
    <row r="19" spans="1:11" ht="12.75" customHeight="1" x14ac:dyDescent="0.4">
      <c r="D19" s="149"/>
    </row>
    <row r="20" spans="1:11" x14ac:dyDescent="0.4">
      <c r="A20" s="379" t="s">
        <v>114</v>
      </c>
      <c r="B20" s="379"/>
      <c r="C20" s="379"/>
      <c r="D20" s="379"/>
    </row>
    <row r="21" spans="1:11" x14ac:dyDescent="0.4">
      <c r="A21" s="28" t="s">
        <v>115</v>
      </c>
      <c r="B21" s="388" t="s">
        <v>117</v>
      </c>
      <c r="C21" s="388"/>
      <c r="D21" s="388"/>
      <c r="E21" s="388"/>
      <c r="F21" s="388"/>
      <c r="G21" s="388"/>
      <c r="H21" s="388"/>
      <c r="I21" s="388"/>
      <c r="J21" s="388"/>
      <c r="K21" s="388"/>
    </row>
    <row r="22" spans="1:11" ht="18.75" customHeight="1" x14ac:dyDescent="0.4">
      <c r="A22" s="28" t="s">
        <v>116</v>
      </c>
      <c r="B22" s="389" t="s">
        <v>118</v>
      </c>
      <c r="C22" s="389"/>
      <c r="D22" s="389"/>
      <c r="E22" s="389"/>
      <c r="F22" s="389"/>
      <c r="G22" s="389"/>
      <c r="H22" s="389"/>
      <c r="I22" s="389"/>
      <c r="J22" s="389"/>
      <c r="K22" s="389"/>
    </row>
    <row r="23" spans="1:11" x14ac:dyDescent="0.4">
      <c r="A23" s="28"/>
      <c r="B23" s="389"/>
      <c r="C23" s="389"/>
      <c r="D23" s="389"/>
      <c r="E23" s="389"/>
      <c r="F23" s="389"/>
      <c r="G23" s="389"/>
      <c r="H23" s="389"/>
      <c r="I23" s="389"/>
      <c r="J23" s="389"/>
      <c r="K23" s="389"/>
    </row>
    <row r="24" spans="1:11" ht="7.5" customHeight="1" x14ac:dyDescent="0.4">
      <c r="A24" s="28"/>
      <c r="B24" s="389"/>
      <c r="C24" s="389"/>
      <c r="D24" s="389"/>
      <c r="E24" s="389"/>
      <c r="F24" s="389"/>
      <c r="G24" s="389"/>
      <c r="H24" s="389"/>
      <c r="I24" s="389"/>
      <c r="J24" s="389"/>
      <c r="K24" s="389"/>
    </row>
    <row r="25" spans="1:11" ht="18.75" customHeight="1" x14ac:dyDescent="0.4">
      <c r="A25" s="28" t="s">
        <v>119</v>
      </c>
      <c r="B25" s="389" t="s">
        <v>389</v>
      </c>
      <c r="C25" s="389"/>
      <c r="D25" s="389"/>
      <c r="E25" s="389"/>
      <c r="F25" s="389"/>
      <c r="G25" s="389"/>
      <c r="H25" s="389"/>
      <c r="I25" s="389"/>
      <c r="J25" s="389"/>
      <c r="K25" s="389"/>
    </row>
    <row r="26" spans="1:11" ht="13.5" customHeight="1" x14ac:dyDescent="0.4">
      <c r="A26" s="28"/>
      <c r="B26" s="389"/>
      <c r="C26" s="389"/>
      <c r="D26" s="389"/>
      <c r="E26" s="389"/>
      <c r="F26" s="389"/>
      <c r="G26" s="389"/>
      <c r="H26" s="389"/>
      <c r="I26" s="389"/>
      <c r="J26" s="389"/>
      <c r="K26" s="389"/>
    </row>
    <row r="27" spans="1:11" ht="18.75" customHeight="1" x14ac:dyDescent="0.4">
      <c r="A27" s="28" t="s">
        <v>120</v>
      </c>
      <c r="B27" s="389" t="s">
        <v>121</v>
      </c>
      <c r="C27" s="389"/>
      <c r="D27" s="389"/>
      <c r="E27" s="389"/>
      <c r="F27" s="389"/>
      <c r="G27" s="389"/>
      <c r="H27" s="389"/>
      <c r="I27" s="389"/>
      <c r="J27" s="389"/>
      <c r="K27" s="389"/>
    </row>
    <row r="28" spans="1:11" x14ac:dyDescent="0.4">
      <c r="A28" s="28"/>
      <c r="B28" s="389"/>
      <c r="C28" s="389"/>
      <c r="D28" s="389"/>
      <c r="E28" s="389"/>
      <c r="F28" s="389"/>
      <c r="G28" s="389"/>
      <c r="H28" s="389"/>
      <c r="I28" s="389"/>
      <c r="J28" s="389"/>
      <c r="K28" s="389"/>
    </row>
    <row r="29" spans="1:11" x14ac:dyDescent="0.4">
      <c r="A29" s="28"/>
      <c r="B29" s="389"/>
      <c r="C29" s="389"/>
      <c r="D29" s="389"/>
      <c r="E29" s="389"/>
      <c r="F29" s="389"/>
      <c r="G29" s="389"/>
      <c r="H29" s="389"/>
      <c r="I29" s="389"/>
      <c r="J29" s="389"/>
      <c r="K29" s="389"/>
    </row>
    <row r="30" spans="1:11" x14ac:dyDescent="0.4">
      <c r="A30" s="28"/>
      <c r="B30" s="389"/>
      <c r="C30" s="389"/>
      <c r="D30" s="389"/>
      <c r="E30" s="389"/>
      <c r="F30" s="389"/>
      <c r="G30" s="389"/>
      <c r="H30" s="389"/>
      <c r="I30" s="389"/>
      <c r="J30" s="389"/>
      <c r="K30" s="389"/>
    </row>
    <row r="31" spans="1:11" ht="9.75" customHeight="1" x14ac:dyDescent="0.4">
      <c r="A31" s="28"/>
      <c r="B31" s="389"/>
      <c r="C31" s="389"/>
      <c r="D31" s="389"/>
      <c r="E31" s="389"/>
      <c r="F31" s="389"/>
      <c r="G31" s="389"/>
      <c r="H31" s="389"/>
      <c r="I31" s="389"/>
      <c r="J31" s="389"/>
      <c r="K31" s="389"/>
    </row>
    <row r="32" spans="1:11" x14ac:dyDescent="0.4">
      <c r="A32" s="20" t="s">
        <v>122</v>
      </c>
      <c r="B32" s="388" t="s">
        <v>123</v>
      </c>
      <c r="C32" s="388"/>
      <c r="D32" s="388"/>
      <c r="E32" s="388"/>
      <c r="F32" s="388"/>
      <c r="G32" s="388"/>
      <c r="H32" s="388"/>
      <c r="I32" s="388"/>
      <c r="J32" s="388"/>
      <c r="K32" s="388"/>
    </row>
    <row r="33" spans="1:11" x14ac:dyDescent="0.4">
      <c r="A33" s="20" t="s">
        <v>125</v>
      </c>
      <c r="B33" s="388" t="s">
        <v>124</v>
      </c>
      <c r="C33" s="388"/>
      <c r="D33" s="388"/>
      <c r="E33" s="388"/>
      <c r="F33" s="388"/>
      <c r="G33" s="388"/>
      <c r="H33" s="388"/>
      <c r="I33" s="388"/>
      <c r="J33" s="388"/>
      <c r="K33" s="388"/>
    </row>
    <row r="34" spans="1:11" ht="18.75" customHeight="1" x14ac:dyDescent="0.4">
      <c r="A34" s="20" t="s">
        <v>126</v>
      </c>
      <c r="B34" s="389" t="s">
        <v>494</v>
      </c>
      <c r="C34" s="389"/>
      <c r="D34" s="389"/>
      <c r="E34" s="389"/>
      <c r="F34" s="389"/>
      <c r="G34" s="389"/>
      <c r="H34" s="389"/>
      <c r="I34" s="389"/>
      <c r="J34" s="389"/>
      <c r="K34" s="389"/>
    </row>
    <row r="35" spans="1:11" ht="12" customHeight="1" x14ac:dyDescent="0.4">
      <c r="A35" s="20"/>
      <c r="B35" s="389"/>
      <c r="C35" s="389"/>
      <c r="D35" s="389"/>
      <c r="E35" s="389"/>
      <c r="F35" s="389"/>
      <c r="G35" s="389"/>
      <c r="H35" s="389"/>
      <c r="I35" s="389"/>
      <c r="J35" s="389"/>
      <c r="K35" s="389"/>
    </row>
    <row r="36" spans="1:11" ht="18.75" customHeight="1" x14ac:dyDescent="0.4">
      <c r="A36" s="20" t="s">
        <v>127</v>
      </c>
      <c r="B36" s="389" t="s">
        <v>130</v>
      </c>
      <c r="C36" s="389"/>
      <c r="D36" s="389"/>
      <c r="E36" s="389"/>
      <c r="F36" s="389"/>
      <c r="G36" s="389"/>
      <c r="H36" s="389"/>
      <c r="I36" s="389"/>
      <c r="J36" s="389"/>
      <c r="K36" s="389"/>
    </row>
    <row r="37" spans="1:11" ht="11.25" customHeight="1" x14ac:dyDescent="0.4">
      <c r="A37" s="20"/>
      <c r="B37" s="389"/>
      <c r="C37" s="389"/>
      <c r="D37" s="389"/>
      <c r="E37" s="389"/>
      <c r="F37" s="389"/>
      <c r="G37" s="389"/>
      <c r="H37" s="389"/>
      <c r="I37" s="389"/>
      <c r="J37" s="389"/>
      <c r="K37" s="389"/>
    </row>
    <row r="38" spans="1:11" ht="16.5" customHeight="1" x14ac:dyDescent="0.4">
      <c r="A38" s="20" t="s">
        <v>131</v>
      </c>
      <c r="B38" s="388" t="s">
        <v>132</v>
      </c>
      <c r="C38" s="388"/>
      <c r="D38" s="388"/>
      <c r="E38" s="388"/>
      <c r="F38" s="388"/>
      <c r="G38" s="388"/>
      <c r="H38" s="388"/>
      <c r="I38" s="388"/>
      <c r="J38" s="388"/>
      <c r="K38" s="388"/>
    </row>
    <row r="39" spans="1:11" x14ac:dyDescent="0.4">
      <c r="A39" s="20" t="s">
        <v>134</v>
      </c>
      <c r="B39" s="377" t="s">
        <v>133</v>
      </c>
      <c r="C39" s="377"/>
      <c r="D39" s="377"/>
      <c r="E39" s="377"/>
      <c r="F39" s="377"/>
      <c r="G39" s="377"/>
      <c r="H39" s="377"/>
      <c r="I39" s="377"/>
      <c r="J39" s="377"/>
      <c r="K39" s="377"/>
    </row>
    <row r="40" spans="1:11" ht="13.5" customHeight="1" x14ac:dyDescent="0.4">
      <c r="A40" s="18"/>
      <c r="B40" s="20"/>
      <c r="C40" s="29"/>
      <c r="D40" s="29"/>
      <c r="E40" s="29"/>
      <c r="F40" s="29"/>
      <c r="G40" s="29"/>
      <c r="H40" s="29"/>
      <c r="I40" s="29"/>
      <c r="J40" s="29"/>
    </row>
    <row r="41" spans="1:11" x14ac:dyDescent="0.4">
      <c r="A41" s="390" t="str">
        <f>IF(基本情報入力!$D$12="","令和　　　年　　　月 　 　日",基本情報入力!$D$12)</f>
        <v>令和　　　年　　　月 　 　日</v>
      </c>
      <c r="B41" s="390"/>
      <c r="C41" s="390"/>
      <c r="D41" s="390"/>
      <c r="E41" s="390"/>
      <c r="F41" s="390"/>
      <c r="G41" s="32"/>
      <c r="H41" s="24"/>
      <c r="I41" s="24"/>
      <c r="J41" s="24"/>
    </row>
    <row r="42" spans="1:11" ht="9" customHeight="1" x14ac:dyDescent="0.4">
      <c r="A42" s="31"/>
      <c r="B42" s="31"/>
      <c r="C42" s="25"/>
      <c r="D42" s="25"/>
      <c r="E42" s="25"/>
      <c r="F42" s="25"/>
      <c r="G42" s="25"/>
      <c r="H42" s="18"/>
      <c r="I42" s="18"/>
      <c r="J42" s="18"/>
    </row>
    <row r="43" spans="1:11" ht="14.25" customHeight="1" x14ac:dyDescent="0.4">
      <c r="A43" s="376" t="s">
        <v>5</v>
      </c>
      <c r="B43" s="376"/>
      <c r="C43" s="31"/>
      <c r="D43" s="387" t="str">
        <f>基本情報入力!$H$24&amp;""</f>
        <v/>
      </c>
      <c r="E43" s="387"/>
      <c r="F43" s="387"/>
      <c r="G43" s="387"/>
      <c r="H43" s="18"/>
      <c r="I43" s="18"/>
      <c r="J43" s="18"/>
    </row>
    <row r="44" spans="1:11" ht="14.25" customHeight="1" x14ac:dyDescent="0.4">
      <c r="A44" s="31"/>
      <c r="B44" s="31"/>
      <c r="C44" s="31"/>
      <c r="D44" s="387" t="str">
        <f>基本情報入力!$I$24&amp;""</f>
        <v/>
      </c>
      <c r="E44" s="387"/>
      <c r="F44" s="387"/>
      <c r="G44" s="387"/>
      <c r="H44" s="18"/>
      <c r="I44" s="18"/>
      <c r="J44" s="18"/>
    </row>
    <row r="45" spans="1:11" ht="14.25" customHeight="1" x14ac:dyDescent="0.4">
      <c r="A45" s="376" t="s">
        <v>4</v>
      </c>
      <c r="B45" s="376"/>
      <c r="C45" s="31"/>
      <c r="D45" s="31"/>
      <c r="E45" s="25"/>
      <c r="F45" s="25"/>
      <c r="G45" s="25"/>
      <c r="H45" s="18"/>
      <c r="I45" s="18"/>
      <c r="J45" s="18"/>
    </row>
    <row r="46" spans="1:11" ht="14.25" customHeight="1" x14ac:dyDescent="0.4">
      <c r="A46" s="376"/>
      <c r="B46" s="376"/>
      <c r="C46" s="31"/>
      <c r="D46" s="33"/>
      <c r="E46" s="33"/>
      <c r="F46" s="34"/>
      <c r="G46" s="34"/>
      <c r="H46" s="18"/>
      <c r="I46" s="18"/>
      <c r="J46" s="18"/>
    </row>
    <row r="47" spans="1:11" x14ac:dyDescent="0.4">
      <c r="A47" s="18"/>
      <c r="D47" s="386" t="str">
        <f>基本情報入力!$C$24&amp;"　様"</f>
        <v>　様</v>
      </c>
      <c r="E47" s="386"/>
      <c r="F47" s="386"/>
      <c r="G47" s="386"/>
      <c r="H47" s="18"/>
      <c r="I47" s="18"/>
      <c r="J47" s="18"/>
    </row>
    <row r="48" spans="1:11" x14ac:dyDescent="0.4">
      <c r="A48" s="18"/>
      <c r="E48" s="18"/>
      <c r="F48" s="18"/>
      <c r="G48" s="18"/>
      <c r="H48" s="18"/>
      <c r="I48" s="18"/>
      <c r="J48" s="18"/>
    </row>
    <row r="49" spans="1:10" x14ac:dyDescent="0.4">
      <c r="A49" s="18"/>
      <c r="E49" s="18"/>
      <c r="F49" s="18"/>
      <c r="G49" s="18"/>
      <c r="H49" s="18"/>
      <c r="I49" s="18"/>
      <c r="J49" s="18"/>
    </row>
  </sheetData>
  <sheetProtection sheet="1" objects="1" scenarios="1"/>
  <mergeCells count="30">
    <mergeCell ref="D47:G47"/>
    <mergeCell ref="A45:B46"/>
    <mergeCell ref="D43:G43"/>
    <mergeCell ref="D44:G44"/>
    <mergeCell ref="B21:K21"/>
    <mergeCell ref="B36:K37"/>
    <mergeCell ref="B38:K38"/>
    <mergeCell ref="B22:K24"/>
    <mergeCell ref="B27:K31"/>
    <mergeCell ref="B32:K32"/>
    <mergeCell ref="B33:K33"/>
    <mergeCell ref="B34:K35"/>
    <mergeCell ref="B25:K26"/>
    <mergeCell ref="A41:F41"/>
    <mergeCell ref="A12:B13"/>
    <mergeCell ref="A14:B15"/>
    <mergeCell ref="D2:I2"/>
    <mergeCell ref="J1:K2"/>
    <mergeCell ref="A43:B43"/>
    <mergeCell ref="B39:K39"/>
    <mergeCell ref="A10:B10"/>
    <mergeCell ref="A11:B11"/>
    <mergeCell ref="A20:D20"/>
    <mergeCell ref="A17:F17"/>
    <mergeCell ref="A18:J18"/>
    <mergeCell ref="A4:D4"/>
    <mergeCell ref="A5:D5"/>
    <mergeCell ref="H17:K17"/>
    <mergeCell ref="D12:K13"/>
    <mergeCell ref="D14:K16"/>
  </mergeCells>
  <phoneticPr fontId="2"/>
  <printOptions horizontalCentered="1"/>
  <pageMargins left="0.51181102362204722" right="0.51181102362204722" top="0.55118110236220474" bottom="0.55118110236220474" header="0.31496062992125984" footer="0.31496062992125984"/>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CFE4-BF59-4C4A-8D76-DF945E8EEE37}">
  <sheetPr codeName="Sheet10"/>
  <dimension ref="A1:L156"/>
  <sheetViews>
    <sheetView view="pageBreakPreview" zoomScale="60" zoomScaleNormal="100" workbookViewId="0">
      <selection sqref="A1:J1"/>
    </sheetView>
  </sheetViews>
  <sheetFormatPr defaultRowHeight="18.75" x14ac:dyDescent="0.4"/>
  <cols>
    <col min="1" max="1" width="3.5" customWidth="1"/>
    <col min="2" max="2" width="2.375" customWidth="1"/>
    <col min="3" max="3" width="4.625" customWidth="1"/>
    <col min="8" max="8" width="9" customWidth="1"/>
    <col min="10" max="10" width="9.75" customWidth="1"/>
    <col min="11" max="11" width="2.375" customWidth="1"/>
    <col min="12" max="12" width="9" customWidth="1"/>
  </cols>
  <sheetData>
    <row r="1" spans="1:12" ht="45" customHeight="1" x14ac:dyDescent="0.4">
      <c r="A1" s="391" t="s">
        <v>326</v>
      </c>
      <c r="B1" s="391"/>
      <c r="C1" s="391"/>
      <c r="D1" s="391"/>
      <c r="E1" s="391"/>
      <c r="F1" s="391"/>
      <c r="G1" s="391"/>
      <c r="H1" s="391"/>
      <c r="I1" s="391"/>
      <c r="J1" s="391"/>
      <c r="K1" s="375" t="str">
        <f>IFERROR(VLOOKUP($A$1,送付状!$B$18:$O$28,2,FALSE),"")</f>
        <v>⑸</v>
      </c>
      <c r="L1" s="375"/>
    </row>
    <row r="2" spans="1:12" ht="33" customHeight="1" x14ac:dyDescent="0.5">
      <c r="A2" s="107"/>
      <c r="B2" s="107"/>
      <c r="C2" s="107"/>
      <c r="D2" s="108" t="str">
        <f>基本情報入力!$C$23&amp;""</f>
        <v/>
      </c>
      <c r="E2" s="52" t="s">
        <v>154</v>
      </c>
      <c r="K2" s="148"/>
      <c r="L2" s="148"/>
    </row>
    <row r="3" spans="1:12" ht="20.25" customHeight="1" x14ac:dyDescent="0.4">
      <c r="A3" s="37"/>
      <c r="B3" s="37"/>
      <c r="C3" s="37"/>
      <c r="D3" s="37"/>
      <c r="E3" s="37"/>
      <c r="F3" s="37"/>
      <c r="G3" s="37"/>
      <c r="H3" s="37"/>
      <c r="I3" s="37"/>
      <c r="J3" s="37"/>
      <c r="K3" s="37"/>
    </row>
    <row r="4" spans="1:12" ht="25.5" x14ac:dyDescent="0.4">
      <c r="A4" s="39" t="s">
        <v>142</v>
      </c>
      <c r="B4" s="37"/>
      <c r="C4" s="40" t="s">
        <v>143</v>
      </c>
      <c r="D4" s="37"/>
      <c r="E4" s="37"/>
      <c r="F4" s="37"/>
      <c r="G4" s="37"/>
      <c r="H4" s="37"/>
      <c r="I4" s="37"/>
      <c r="J4" s="37"/>
      <c r="K4" s="37"/>
    </row>
    <row r="5" spans="1:12" ht="24" x14ac:dyDescent="0.4">
      <c r="B5" s="37"/>
      <c r="C5" s="38" t="s">
        <v>137</v>
      </c>
      <c r="D5" s="37"/>
      <c r="E5" s="37"/>
      <c r="F5" s="37"/>
      <c r="G5" s="37"/>
      <c r="H5" s="37"/>
      <c r="I5" s="37"/>
      <c r="J5" s="37"/>
      <c r="K5" s="37"/>
    </row>
    <row r="6" spans="1:12" ht="24" x14ac:dyDescent="0.4">
      <c r="A6" s="37"/>
      <c r="B6" s="42"/>
      <c r="C6" s="44" t="s">
        <v>86</v>
      </c>
      <c r="D6" s="42" t="s">
        <v>138</v>
      </c>
      <c r="E6" s="42"/>
      <c r="F6" s="42"/>
      <c r="G6" s="42"/>
      <c r="H6" s="42"/>
      <c r="I6" s="42"/>
      <c r="J6" s="42"/>
      <c r="K6" s="42"/>
    </row>
    <row r="7" spans="1:12" ht="24" x14ac:dyDescent="0.4">
      <c r="A7" s="37"/>
      <c r="B7" s="37"/>
      <c r="C7" s="44" t="s">
        <v>86</v>
      </c>
      <c r="D7" s="394" t="s">
        <v>139</v>
      </c>
      <c r="E7" s="394"/>
      <c r="F7" s="394"/>
      <c r="G7" s="394"/>
      <c r="H7" s="394"/>
      <c r="I7" s="394"/>
      <c r="J7" s="394"/>
      <c r="K7" s="394"/>
      <c r="L7" s="394"/>
    </row>
    <row r="8" spans="1:12" ht="24" x14ac:dyDescent="0.4">
      <c r="A8" s="37"/>
      <c r="B8" s="37"/>
      <c r="C8" s="44"/>
      <c r="D8" s="394"/>
      <c r="E8" s="394"/>
      <c r="F8" s="394"/>
      <c r="G8" s="394"/>
      <c r="H8" s="394"/>
      <c r="I8" s="394"/>
      <c r="J8" s="394"/>
      <c r="K8" s="394"/>
      <c r="L8" s="394"/>
    </row>
    <row r="9" spans="1:12" ht="24" x14ac:dyDescent="0.4">
      <c r="A9" s="37"/>
      <c r="B9" s="42"/>
      <c r="C9" s="44" t="s">
        <v>86</v>
      </c>
      <c r="D9" s="42" t="s">
        <v>140</v>
      </c>
      <c r="E9" s="42"/>
      <c r="F9" s="42"/>
      <c r="G9" s="42"/>
      <c r="H9" s="42"/>
      <c r="I9" s="42"/>
      <c r="J9" s="42"/>
      <c r="K9" s="42"/>
    </row>
    <row r="10" spans="1:12" ht="24" customHeight="1" x14ac:dyDescent="0.4">
      <c r="A10" s="37"/>
      <c r="B10" s="37"/>
      <c r="C10" s="44" t="s">
        <v>86</v>
      </c>
      <c r="D10" s="394" t="s">
        <v>141</v>
      </c>
      <c r="E10" s="394"/>
      <c r="F10" s="394"/>
      <c r="G10" s="394"/>
      <c r="H10" s="394"/>
      <c r="I10" s="394"/>
      <c r="J10" s="394"/>
      <c r="K10" s="394"/>
      <c r="L10" s="394"/>
    </row>
    <row r="11" spans="1:12" ht="24" x14ac:dyDescent="0.4">
      <c r="A11" s="37"/>
      <c r="B11" s="37"/>
      <c r="C11" s="42"/>
      <c r="D11" s="394"/>
      <c r="E11" s="394"/>
      <c r="F11" s="394"/>
      <c r="G11" s="394"/>
      <c r="H11" s="394"/>
      <c r="I11" s="394"/>
      <c r="J11" s="394"/>
      <c r="K11" s="394"/>
      <c r="L11" s="394"/>
    </row>
    <row r="12" spans="1:12" ht="24" x14ac:dyDescent="0.4">
      <c r="A12" s="37"/>
      <c r="B12" s="37"/>
      <c r="C12" s="42"/>
      <c r="D12" s="394"/>
      <c r="E12" s="394"/>
      <c r="F12" s="394"/>
      <c r="G12" s="394"/>
      <c r="H12" s="394"/>
      <c r="I12" s="394"/>
      <c r="J12" s="394"/>
      <c r="K12" s="394"/>
      <c r="L12" s="394"/>
    </row>
    <row r="13" spans="1:12" ht="12.75" customHeight="1" x14ac:dyDescent="0.4">
      <c r="A13" s="37"/>
      <c r="B13" s="37"/>
      <c r="C13" s="42"/>
      <c r="D13" s="394"/>
      <c r="E13" s="394"/>
      <c r="F13" s="394"/>
      <c r="G13" s="394"/>
      <c r="H13" s="394"/>
      <c r="I13" s="394"/>
      <c r="J13" s="394"/>
      <c r="K13" s="394"/>
      <c r="L13" s="394"/>
    </row>
    <row r="14" spans="1:12" ht="24" x14ac:dyDescent="0.4">
      <c r="A14" s="37"/>
      <c r="B14" s="37"/>
      <c r="C14" s="37"/>
      <c r="D14" s="37"/>
      <c r="E14" s="37"/>
      <c r="F14" s="37"/>
      <c r="G14" s="37"/>
      <c r="H14" s="37"/>
      <c r="I14" s="37"/>
      <c r="J14" s="37"/>
      <c r="K14" s="37"/>
    </row>
    <row r="15" spans="1:12" ht="25.5" x14ac:dyDescent="0.4">
      <c r="A15" s="40" t="s">
        <v>144</v>
      </c>
      <c r="B15" s="37"/>
      <c r="C15" s="40" t="s">
        <v>145</v>
      </c>
      <c r="D15" s="37"/>
      <c r="E15" s="37"/>
      <c r="F15" s="37"/>
      <c r="G15" s="37"/>
      <c r="H15" s="37"/>
      <c r="I15" s="37"/>
      <c r="J15" s="37"/>
      <c r="K15" s="37"/>
    </row>
    <row r="16" spans="1:12" ht="24" customHeight="1" x14ac:dyDescent="0.4">
      <c r="A16" s="37"/>
      <c r="B16" s="37"/>
      <c r="C16" s="395" t="s">
        <v>155</v>
      </c>
      <c r="D16" s="395"/>
      <c r="E16" s="395"/>
      <c r="F16" s="395"/>
      <c r="G16" s="395"/>
      <c r="H16" s="395"/>
      <c r="I16" s="395"/>
      <c r="J16" s="395"/>
      <c r="K16" s="395"/>
      <c r="L16" s="395"/>
    </row>
    <row r="17" spans="1:12" ht="24" x14ac:dyDescent="0.4">
      <c r="A17" s="37"/>
      <c r="B17" s="37"/>
      <c r="C17" s="395"/>
      <c r="D17" s="395"/>
      <c r="E17" s="395"/>
      <c r="F17" s="395"/>
      <c r="G17" s="395"/>
      <c r="H17" s="395"/>
      <c r="I17" s="395"/>
      <c r="J17" s="395"/>
      <c r="K17" s="395"/>
      <c r="L17" s="395"/>
    </row>
    <row r="18" spans="1:12" ht="8.25" customHeight="1" x14ac:dyDescent="0.4">
      <c r="A18" s="37"/>
      <c r="B18" s="37"/>
      <c r="C18" s="395"/>
      <c r="D18" s="395"/>
      <c r="E18" s="395"/>
      <c r="F18" s="395"/>
      <c r="G18" s="395"/>
      <c r="H18" s="395"/>
      <c r="I18" s="395"/>
      <c r="J18" s="395"/>
      <c r="K18" s="395"/>
      <c r="L18" s="395"/>
    </row>
    <row r="19" spans="1:12" ht="10.5" customHeight="1" x14ac:dyDescent="0.4">
      <c r="A19" s="37"/>
      <c r="B19" s="37"/>
      <c r="C19" s="37"/>
      <c r="D19" s="37"/>
      <c r="E19" s="37"/>
      <c r="F19" s="37"/>
      <c r="G19" s="37"/>
      <c r="H19" s="37"/>
      <c r="I19" s="37"/>
      <c r="J19" s="37"/>
      <c r="K19" s="37"/>
    </row>
    <row r="20" spans="1:12" ht="24" x14ac:dyDescent="0.4">
      <c r="A20" s="37"/>
      <c r="B20" s="37"/>
      <c r="C20" s="37" t="s">
        <v>146</v>
      </c>
      <c r="D20" s="37"/>
      <c r="E20" s="37"/>
      <c r="F20" s="37"/>
      <c r="G20" s="53"/>
      <c r="H20" s="37"/>
      <c r="I20" s="37"/>
      <c r="J20" s="37"/>
      <c r="K20" s="37"/>
    </row>
    <row r="21" spans="1:12" ht="24" x14ac:dyDescent="0.4">
      <c r="A21" s="37"/>
      <c r="B21" s="42"/>
      <c r="C21" s="44" t="s">
        <v>115</v>
      </c>
      <c r="D21" s="42" t="s">
        <v>147</v>
      </c>
      <c r="E21" s="42"/>
      <c r="F21" s="42"/>
      <c r="G21" s="42"/>
      <c r="H21" s="42"/>
      <c r="I21" s="42"/>
      <c r="J21" s="42"/>
      <c r="K21" s="42"/>
    </row>
    <row r="22" spans="1:12" ht="24" x14ac:dyDescent="0.4">
      <c r="A22" s="37"/>
      <c r="B22" s="37"/>
      <c r="C22" s="44" t="s">
        <v>116</v>
      </c>
      <c r="D22" s="392" t="s">
        <v>148</v>
      </c>
      <c r="E22" s="392"/>
      <c r="F22" s="392"/>
      <c r="G22" s="392"/>
      <c r="H22" s="392"/>
      <c r="I22" s="392"/>
      <c r="J22" s="392"/>
      <c r="K22" s="392"/>
      <c r="L22" s="392"/>
    </row>
    <row r="23" spans="1:12" ht="33.75" customHeight="1" x14ac:dyDescent="0.4">
      <c r="A23" s="37"/>
      <c r="B23" s="37"/>
      <c r="C23" s="393" t="s">
        <v>457</v>
      </c>
      <c r="D23" s="393"/>
      <c r="E23" s="393"/>
      <c r="F23" s="393"/>
      <c r="G23" s="393"/>
      <c r="H23" s="393"/>
      <c r="I23" s="393"/>
      <c r="J23" s="393"/>
      <c r="K23" s="393"/>
      <c r="L23" s="393"/>
    </row>
    <row r="24" spans="1:12" ht="10.5" customHeight="1" x14ac:dyDescent="0.4">
      <c r="A24" s="37"/>
      <c r="B24" s="37"/>
      <c r="C24" s="37"/>
      <c r="D24" s="37"/>
      <c r="E24" s="37"/>
      <c r="F24" s="37"/>
      <c r="G24" s="37"/>
      <c r="H24" s="37"/>
      <c r="I24" s="37"/>
      <c r="J24" s="37"/>
      <c r="K24" s="37"/>
    </row>
    <row r="25" spans="1:12" ht="24" x14ac:dyDescent="0.4">
      <c r="A25" s="37"/>
      <c r="B25" s="37"/>
      <c r="C25" s="37" t="s">
        <v>149</v>
      </c>
      <c r="D25" s="37"/>
      <c r="E25" s="37"/>
      <c r="F25" s="37"/>
      <c r="G25" s="37"/>
      <c r="H25" s="37"/>
      <c r="I25" s="37"/>
      <c r="J25" s="37"/>
      <c r="K25" s="37"/>
    </row>
    <row r="26" spans="1:12" ht="24" x14ac:dyDescent="0.4">
      <c r="A26" s="37"/>
      <c r="B26" s="42"/>
      <c r="C26" s="44" t="s">
        <v>115</v>
      </c>
      <c r="D26" s="42" t="s">
        <v>147</v>
      </c>
      <c r="E26" s="42"/>
      <c r="F26" s="42"/>
      <c r="G26" s="42"/>
      <c r="H26" s="42"/>
      <c r="I26" s="42"/>
      <c r="J26" s="42"/>
      <c r="K26" s="42"/>
    </row>
    <row r="27" spans="1:12" ht="24" x14ac:dyDescent="0.4">
      <c r="A27" s="37"/>
      <c r="B27" s="37"/>
      <c r="C27" s="44" t="s">
        <v>116</v>
      </c>
      <c r="D27" s="392" t="s">
        <v>148</v>
      </c>
      <c r="E27" s="392"/>
      <c r="F27" s="392"/>
      <c r="G27" s="392"/>
      <c r="H27" s="392"/>
      <c r="I27" s="392"/>
      <c r="J27" s="392"/>
      <c r="K27" s="392"/>
      <c r="L27" s="392"/>
    </row>
    <row r="28" spans="1:12" ht="12.75" customHeight="1" x14ac:dyDescent="0.4">
      <c r="A28" s="37"/>
      <c r="B28" s="37"/>
      <c r="C28" s="37"/>
      <c r="D28" s="37"/>
      <c r="E28" s="37"/>
      <c r="F28" s="37"/>
      <c r="G28" s="37"/>
      <c r="H28" s="37"/>
      <c r="I28" s="37"/>
      <c r="J28" s="37"/>
      <c r="K28" s="37"/>
    </row>
    <row r="29" spans="1:12" ht="6.75" customHeight="1" x14ac:dyDescent="0.4">
      <c r="A29" s="37"/>
      <c r="B29" s="45"/>
      <c r="C29" s="46"/>
      <c r="D29" s="46"/>
      <c r="E29" s="46"/>
      <c r="F29" s="46"/>
      <c r="G29" s="46"/>
      <c r="H29" s="46"/>
      <c r="I29" s="46"/>
      <c r="J29" s="46"/>
      <c r="K29" s="47"/>
    </row>
    <row r="30" spans="1:12" ht="21" customHeight="1" x14ac:dyDescent="0.4">
      <c r="A30" s="37"/>
      <c r="B30" s="48"/>
      <c r="C30" s="38" t="s">
        <v>150</v>
      </c>
      <c r="D30" s="38"/>
      <c r="E30" s="38"/>
      <c r="F30" s="38"/>
      <c r="G30" s="38"/>
      <c r="H30" s="37"/>
      <c r="I30" s="37"/>
      <c r="J30" s="37"/>
      <c r="K30" s="49"/>
    </row>
    <row r="31" spans="1:12" ht="21" customHeight="1" x14ac:dyDescent="0.4">
      <c r="A31" s="37"/>
      <c r="B31" s="48"/>
      <c r="C31" s="38" t="s">
        <v>151</v>
      </c>
      <c r="D31" s="38"/>
      <c r="E31" s="38"/>
      <c r="F31" s="38"/>
      <c r="G31" s="38"/>
      <c r="H31" s="37"/>
      <c r="I31" s="37"/>
      <c r="J31" s="37"/>
      <c r="K31" s="49"/>
    </row>
    <row r="32" spans="1:12" ht="24" x14ac:dyDescent="0.4">
      <c r="A32" s="37"/>
      <c r="B32" s="48"/>
      <c r="C32" s="37"/>
      <c r="D32" s="37"/>
      <c r="E32" s="37"/>
      <c r="F32" s="37"/>
      <c r="G32" s="43" t="s">
        <v>152</v>
      </c>
      <c r="H32" s="41"/>
      <c r="I32" s="41"/>
      <c r="J32" s="41"/>
      <c r="K32" s="49"/>
    </row>
    <row r="33" spans="1:11" ht="24" x14ac:dyDescent="0.4">
      <c r="A33" s="37"/>
      <c r="B33" s="48"/>
      <c r="C33" s="37"/>
      <c r="D33" s="37"/>
      <c r="E33" s="37"/>
      <c r="F33" s="37"/>
      <c r="G33" s="38" t="s">
        <v>153</v>
      </c>
      <c r="H33" s="37"/>
      <c r="I33" s="37"/>
      <c r="J33" s="37"/>
      <c r="K33" s="49"/>
    </row>
    <row r="34" spans="1:11" ht="6.75" customHeight="1" x14ac:dyDescent="0.4">
      <c r="A34" s="37"/>
      <c r="B34" s="50"/>
      <c r="C34" s="41"/>
      <c r="D34" s="41"/>
      <c r="E34" s="41"/>
      <c r="F34" s="41"/>
      <c r="G34" s="41"/>
      <c r="H34" s="41"/>
      <c r="I34" s="41"/>
      <c r="J34" s="41"/>
      <c r="K34" s="51"/>
    </row>
    <row r="35" spans="1:11" ht="7.5" customHeight="1" x14ac:dyDescent="0.4">
      <c r="A35" s="37"/>
      <c r="B35" s="37"/>
      <c r="C35" s="37"/>
      <c r="D35" s="37"/>
      <c r="E35" s="37"/>
      <c r="F35" s="37"/>
      <c r="G35" s="37"/>
      <c r="H35" s="37"/>
      <c r="I35" s="37"/>
      <c r="J35" s="37"/>
      <c r="K35" s="37"/>
    </row>
    <row r="36" spans="1:11" ht="24" x14ac:dyDescent="0.4">
      <c r="A36" s="37"/>
      <c r="B36" s="37"/>
      <c r="C36" s="37"/>
      <c r="D36" s="37"/>
      <c r="E36" s="37"/>
      <c r="F36" s="37"/>
      <c r="G36" s="37"/>
      <c r="H36" s="37"/>
      <c r="I36" s="37"/>
      <c r="J36" s="37"/>
      <c r="K36" s="37"/>
    </row>
    <row r="37" spans="1:11" ht="24" x14ac:dyDescent="0.4">
      <c r="A37" s="37"/>
      <c r="B37" s="37"/>
      <c r="C37" s="37"/>
      <c r="D37" s="37"/>
      <c r="E37" s="37"/>
      <c r="F37" s="37"/>
      <c r="G37" s="37"/>
      <c r="H37" s="37"/>
      <c r="I37" s="37"/>
      <c r="J37" s="37"/>
      <c r="K37" s="37"/>
    </row>
    <row r="38" spans="1:11" ht="24" x14ac:dyDescent="0.4">
      <c r="A38" s="37"/>
      <c r="B38" s="37"/>
      <c r="C38" s="37"/>
      <c r="D38" s="37"/>
      <c r="E38" s="37"/>
      <c r="F38" s="37"/>
      <c r="G38" s="37"/>
      <c r="H38" s="37"/>
      <c r="I38" s="37"/>
      <c r="J38" s="37"/>
      <c r="K38" s="37"/>
    </row>
    <row r="39" spans="1:11" ht="24" x14ac:dyDescent="0.4">
      <c r="A39" s="37"/>
      <c r="B39" s="37"/>
      <c r="C39" s="37"/>
      <c r="D39" s="37"/>
      <c r="E39" s="37"/>
      <c r="F39" s="37"/>
      <c r="G39" s="37"/>
      <c r="H39" s="37"/>
      <c r="I39" s="37"/>
      <c r="J39" s="37"/>
      <c r="K39" s="37"/>
    </row>
    <row r="40" spans="1:11" ht="24" x14ac:dyDescent="0.4">
      <c r="A40" s="37"/>
      <c r="B40" s="37"/>
      <c r="C40" s="37"/>
      <c r="D40" s="37"/>
      <c r="E40" s="37"/>
      <c r="F40" s="37"/>
      <c r="G40" s="37"/>
      <c r="H40" s="37"/>
      <c r="I40" s="37"/>
      <c r="J40" s="37"/>
      <c r="K40" s="37"/>
    </row>
    <row r="41" spans="1:11" ht="24" x14ac:dyDescent="0.4">
      <c r="A41" s="37"/>
      <c r="B41" s="37"/>
      <c r="C41" s="37"/>
      <c r="D41" s="37"/>
      <c r="E41" s="37"/>
      <c r="F41" s="37"/>
      <c r="G41" s="37"/>
      <c r="H41" s="37"/>
      <c r="I41" s="37"/>
      <c r="J41" s="37"/>
      <c r="K41" s="37"/>
    </row>
    <row r="42" spans="1:11" ht="24" x14ac:dyDescent="0.4">
      <c r="A42" s="37"/>
      <c r="B42" s="37"/>
      <c r="C42" s="37"/>
      <c r="D42" s="37"/>
      <c r="E42" s="37"/>
      <c r="F42" s="37"/>
      <c r="G42" s="37"/>
      <c r="H42" s="37"/>
      <c r="I42" s="37"/>
      <c r="J42" s="37"/>
      <c r="K42" s="37"/>
    </row>
    <row r="43" spans="1:11" ht="24" x14ac:dyDescent="0.4">
      <c r="A43" s="37"/>
      <c r="B43" s="37"/>
      <c r="C43" s="37"/>
      <c r="D43" s="37"/>
      <c r="E43" s="37"/>
      <c r="F43" s="37"/>
      <c r="G43" s="37"/>
      <c r="H43" s="37"/>
      <c r="I43" s="37"/>
      <c r="J43" s="37"/>
      <c r="K43" s="37"/>
    </row>
    <row r="44" spans="1:11" ht="24" x14ac:dyDescent="0.4">
      <c r="A44" s="37"/>
      <c r="B44" s="37"/>
      <c r="C44" s="37"/>
      <c r="D44" s="37"/>
      <c r="E44" s="37"/>
      <c r="F44" s="37"/>
      <c r="G44" s="37"/>
      <c r="H44" s="37"/>
      <c r="I44" s="37"/>
      <c r="J44" s="37"/>
      <c r="K44" s="37"/>
    </row>
    <row r="45" spans="1:11" ht="24" x14ac:dyDescent="0.4">
      <c r="A45" s="37"/>
      <c r="B45" s="37"/>
      <c r="C45" s="37"/>
      <c r="D45" s="37"/>
      <c r="E45" s="37"/>
      <c r="F45" s="37"/>
      <c r="G45" s="37"/>
      <c r="H45" s="37"/>
      <c r="I45" s="37"/>
      <c r="J45" s="37"/>
      <c r="K45" s="37"/>
    </row>
    <row r="46" spans="1:11" ht="24" x14ac:dyDescent="0.4">
      <c r="A46" s="37"/>
      <c r="B46" s="37"/>
      <c r="C46" s="37"/>
      <c r="D46" s="37"/>
      <c r="E46" s="37"/>
      <c r="F46" s="37"/>
      <c r="G46" s="37"/>
      <c r="H46" s="37"/>
      <c r="I46" s="37"/>
      <c r="J46" s="37"/>
      <c r="K46" s="37"/>
    </row>
    <row r="47" spans="1:11" ht="24" x14ac:dyDescent="0.4">
      <c r="A47" s="37"/>
      <c r="B47" s="37"/>
      <c r="C47" s="37"/>
      <c r="D47" s="37"/>
      <c r="E47" s="37"/>
      <c r="F47" s="37"/>
      <c r="G47" s="37"/>
      <c r="H47" s="37"/>
      <c r="I47" s="37"/>
      <c r="J47" s="37"/>
      <c r="K47" s="37"/>
    </row>
    <row r="48" spans="1:11" ht="24" x14ac:dyDescent="0.4">
      <c r="A48" s="37"/>
      <c r="B48" s="37"/>
      <c r="C48" s="37"/>
      <c r="D48" s="37"/>
      <c r="E48" s="37"/>
      <c r="F48" s="37"/>
      <c r="G48" s="37"/>
      <c r="H48" s="37"/>
      <c r="I48" s="37"/>
      <c r="J48" s="37"/>
      <c r="K48" s="37"/>
    </row>
    <row r="49" spans="1:11" ht="24" x14ac:dyDescent="0.4">
      <c r="A49" s="37"/>
      <c r="B49" s="37"/>
      <c r="C49" s="37"/>
      <c r="D49" s="37"/>
      <c r="E49" s="37"/>
      <c r="F49" s="37"/>
      <c r="G49" s="37"/>
      <c r="H49" s="37"/>
      <c r="I49" s="37"/>
      <c r="J49" s="37"/>
      <c r="K49" s="37"/>
    </row>
    <row r="50" spans="1:11" ht="24" x14ac:dyDescent="0.4">
      <c r="A50" s="37"/>
      <c r="B50" s="37"/>
      <c r="C50" s="37"/>
      <c r="D50" s="37"/>
      <c r="E50" s="37"/>
      <c r="F50" s="37"/>
      <c r="G50" s="37"/>
      <c r="H50" s="37"/>
      <c r="I50" s="37"/>
      <c r="J50" s="37"/>
      <c r="K50" s="37"/>
    </row>
    <row r="51" spans="1:11" ht="24" x14ac:dyDescent="0.4">
      <c r="A51" s="37"/>
      <c r="B51" s="37"/>
      <c r="C51" s="37"/>
      <c r="D51" s="37"/>
      <c r="E51" s="37"/>
      <c r="F51" s="37"/>
      <c r="G51" s="37"/>
      <c r="H51" s="37"/>
      <c r="I51" s="37"/>
      <c r="J51" s="37"/>
      <c r="K51" s="37"/>
    </row>
    <row r="52" spans="1:11" ht="24" x14ac:dyDescent="0.4">
      <c r="A52" s="37"/>
      <c r="B52" s="37"/>
      <c r="C52" s="37"/>
      <c r="D52" s="37"/>
      <c r="E52" s="37"/>
      <c r="F52" s="37"/>
      <c r="G52" s="37"/>
      <c r="H52" s="37"/>
      <c r="I52" s="37"/>
      <c r="J52" s="37"/>
      <c r="K52" s="37"/>
    </row>
    <row r="53" spans="1:11" ht="24" x14ac:dyDescent="0.4">
      <c r="A53" s="37"/>
      <c r="B53" s="37"/>
      <c r="C53" s="37"/>
      <c r="D53" s="37"/>
      <c r="E53" s="37"/>
      <c r="F53" s="37"/>
      <c r="G53" s="37"/>
      <c r="H53" s="37"/>
      <c r="I53" s="37"/>
      <c r="J53" s="37"/>
      <c r="K53" s="37"/>
    </row>
    <row r="54" spans="1:11" ht="24" x14ac:dyDescent="0.4">
      <c r="A54" s="37"/>
      <c r="B54" s="37"/>
      <c r="C54" s="37"/>
      <c r="D54" s="37"/>
      <c r="E54" s="37"/>
      <c r="F54" s="37"/>
      <c r="G54" s="37"/>
      <c r="H54" s="37"/>
      <c r="I54" s="37"/>
      <c r="J54" s="37"/>
      <c r="K54" s="37"/>
    </row>
    <row r="55" spans="1:11" ht="24" x14ac:dyDescent="0.4">
      <c r="A55" s="37"/>
      <c r="B55" s="37"/>
      <c r="C55" s="37"/>
      <c r="D55" s="37"/>
      <c r="E55" s="37"/>
      <c r="F55" s="37"/>
      <c r="G55" s="37"/>
      <c r="H55" s="37"/>
      <c r="I55" s="37"/>
      <c r="J55" s="37"/>
      <c r="K55" s="37"/>
    </row>
    <row r="56" spans="1:11" ht="24" x14ac:dyDescent="0.4">
      <c r="A56" s="37"/>
      <c r="B56" s="37"/>
      <c r="C56" s="37"/>
      <c r="D56" s="37"/>
      <c r="E56" s="37"/>
      <c r="F56" s="37"/>
      <c r="G56" s="37"/>
      <c r="H56" s="37"/>
      <c r="I56" s="37"/>
      <c r="J56" s="37"/>
      <c r="K56" s="37"/>
    </row>
    <row r="57" spans="1:11" ht="24" x14ac:dyDescent="0.4">
      <c r="A57" s="37"/>
      <c r="B57" s="37"/>
      <c r="C57" s="37"/>
      <c r="D57" s="37"/>
      <c r="E57" s="37"/>
      <c r="F57" s="37"/>
      <c r="G57" s="37"/>
      <c r="H57" s="37"/>
      <c r="I57" s="37"/>
      <c r="J57" s="37"/>
      <c r="K57" s="37"/>
    </row>
    <row r="58" spans="1:11" ht="24" x14ac:dyDescent="0.4">
      <c r="A58" s="37"/>
      <c r="B58" s="37"/>
      <c r="C58" s="37"/>
      <c r="D58" s="37"/>
      <c r="E58" s="37"/>
      <c r="F58" s="37"/>
      <c r="G58" s="37"/>
      <c r="H58" s="37"/>
      <c r="I58" s="37"/>
      <c r="J58" s="37"/>
      <c r="K58" s="37"/>
    </row>
    <row r="59" spans="1:11" ht="24" x14ac:dyDescent="0.4">
      <c r="A59" s="37"/>
      <c r="B59" s="37"/>
      <c r="C59" s="37"/>
      <c r="D59" s="37"/>
      <c r="E59" s="37"/>
      <c r="F59" s="37"/>
      <c r="G59" s="37"/>
      <c r="H59" s="37"/>
      <c r="I59" s="37"/>
      <c r="J59" s="37"/>
      <c r="K59" s="37"/>
    </row>
    <row r="60" spans="1:11" ht="24" x14ac:dyDescent="0.4">
      <c r="A60" s="37"/>
      <c r="B60" s="37"/>
      <c r="C60" s="37"/>
      <c r="D60" s="37"/>
      <c r="E60" s="37"/>
      <c r="F60" s="37"/>
      <c r="G60" s="37"/>
      <c r="H60" s="37"/>
      <c r="I60" s="37"/>
      <c r="J60" s="37"/>
      <c r="K60" s="37"/>
    </row>
    <row r="61" spans="1:11" ht="24" x14ac:dyDescent="0.4">
      <c r="A61" s="37"/>
      <c r="B61" s="37"/>
      <c r="C61" s="37"/>
      <c r="D61" s="37"/>
      <c r="E61" s="37"/>
      <c r="F61" s="37"/>
      <c r="G61" s="37"/>
      <c r="H61" s="37"/>
      <c r="I61" s="37"/>
      <c r="J61" s="37"/>
      <c r="K61" s="37"/>
    </row>
    <row r="62" spans="1:11" ht="24" x14ac:dyDescent="0.4">
      <c r="A62" s="37"/>
      <c r="B62" s="37"/>
      <c r="C62" s="37"/>
      <c r="D62" s="37"/>
      <c r="E62" s="37"/>
      <c r="F62" s="37"/>
      <c r="G62" s="37"/>
      <c r="H62" s="37"/>
      <c r="I62" s="37"/>
      <c r="J62" s="37"/>
      <c r="K62" s="37"/>
    </row>
    <row r="63" spans="1:11" ht="24" x14ac:dyDescent="0.4">
      <c r="A63" s="37"/>
      <c r="B63" s="37"/>
      <c r="C63" s="37"/>
      <c r="D63" s="37"/>
      <c r="E63" s="37"/>
      <c r="F63" s="37"/>
      <c r="G63" s="37"/>
      <c r="H63" s="37"/>
      <c r="I63" s="37"/>
      <c r="J63" s="37"/>
      <c r="K63" s="37"/>
    </row>
    <row r="64" spans="1:11" ht="24" x14ac:dyDescent="0.4">
      <c r="A64" s="37"/>
      <c r="B64" s="37"/>
      <c r="C64" s="37"/>
      <c r="D64" s="37"/>
      <c r="E64" s="37"/>
      <c r="F64" s="37"/>
      <c r="G64" s="37"/>
      <c r="H64" s="37"/>
      <c r="I64" s="37"/>
      <c r="J64" s="37"/>
      <c r="K64" s="37"/>
    </row>
    <row r="65" spans="1:11" ht="24" x14ac:dyDescent="0.4">
      <c r="A65" s="37"/>
      <c r="B65" s="37"/>
      <c r="C65" s="37"/>
      <c r="D65" s="37"/>
      <c r="E65" s="37"/>
      <c r="F65" s="37"/>
      <c r="G65" s="37"/>
      <c r="H65" s="37"/>
      <c r="I65" s="37"/>
      <c r="J65" s="37"/>
      <c r="K65" s="37"/>
    </row>
    <row r="66" spans="1:11" ht="24" x14ac:dyDescent="0.4">
      <c r="A66" s="37"/>
      <c r="B66" s="37"/>
      <c r="C66" s="37"/>
      <c r="D66" s="37"/>
      <c r="E66" s="37"/>
      <c r="F66" s="37"/>
      <c r="G66" s="37"/>
      <c r="H66" s="37"/>
      <c r="I66" s="37"/>
      <c r="J66" s="37"/>
      <c r="K66" s="37"/>
    </row>
    <row r="67" spans="1:11" ht="24" x14ac:dyDescent="0.4">
      <c r="A67" s="37"/>
      <c r="B67" s="37"/>
      <c r="C67" s="37"/>
      <c r="D67" s="37"/>
      <c r="E67" s="37"/>
      <c r="F67" s="37"/>
      <c r="G67" s="37"/>
      <c r="H67" s="37"/>
      <c r="I67" s="37"/>
      <c r="J67" s="37"/>
      <c r="K67" s="37"/>
    </row>
    <row r="68" spans="1:11" ht="24" x14ac:dyDescent="0.4">
      <c r="A68" s="37"/>
      <c r="B68" s="37"/>
      <c r="C68" s="37"/>
      <c r="D68" s="37"/>
      <c r="E68" s="37"/>
      <c r="F68" s="37"/>
      <c r="G68" s="37"/>
      <c r="H68" s="37"/>
      <c r="I68" s="37"/>
      <c r="J68" s="37"/>
      <c r="K68" s="37"/>
    </row>
    <row r="69" spans="1:11" ht="24" x14ac:dyDescent="0.4">
      <c r="A69" s="37"/>
      <c r="B69" s="37"/>
      <c r="C69" s="37"/>
      <c r="D69" s="37"/>
      <c r="E69" s="37"/>
      <c r="F69" s="37"/>
      <c r="G69" s="37"/>
      <c r="H69" s="37"/>
      <c r="I69" s="37"/>
      <c r="J69" s="37"/>
      <c r="K69" s="37"/>
    </row>
    <row r="70" spans="1:11" ht="24" x14ac:dyDescent="0.4">
      <c r="A70" s="37"/>
      <c r="B70" s="37"/>
      <c r="C70" s="37"/>
      <c r="D70" s="37"/>
      <c r="E70" s="37"/>
      <c r="F70" s="37"/>
      <c r="G70" s="37"/>
      <c r="H70" s="37"/>
      <c r="I70" s="37"/>
      <c r="J70" s="37"/>
      <c r="K70" s="37"/>
    </row>
    <row r="71" spans="1:11" ht="24" x14ac:dyDescent="0.4">
      <c r="A71" s="37"/>
      <c r="B71" s="37"/>
      <c r="C71" s="37"/>
      <c r="D71" s="37"/>
      <c r="E71" s="37"/>
      <c r="F71" s="37"/>
      <c r="G71" s="37"/>
      <c r="H71" s="37"/>
      <c r="I71" s="37"/>
      <c r="J71" s="37"/>
      <c r="K71" s="37"/>
    </row>
    <row r="72" spans="1:11" ht="24" x14ac:dyDescent="0.4">
      <c r="A72" s="37"/>
      <c r="B72" s="37"/>
      <c r="C72" s="37"/>
      <c r="D72" s="37"/>
      <c r="E72" s="37"/>
      <c r="F72" s="37"/>
      <c r="G72" s="37"/>
      <c r="H72" s="37"/>
      <c r="I72" s="37"/>
      <c r="J72" s="37"/>
      <c r="K72" s="37"/>
    </row>
    <row r="73" spans="1:11" ht="24" x14ac:dyDescent="0.4">
      <c r="A73" s="37"/>
      <c r="B73" s="37"/>
      <c r="C73" s="37"/>
      <c r="D73" s="37"/>
      <c r="E73" s="37"/>
      <c r="F73" s="37"/>
      <c r="G73" s="37"/>
      <c r="H73" s="37"/>
      <c r="I73" s="37"/>
      <c r="J73" s="37"/>
      <c r="K73" s="37"/>
    </row>
    <row r="74" spans="1:11" ht="24" x14ac:dyDescent="0.4">
      <c r="A74" s="37"/>
      <c r="B74" s="37"/>
      <c r="C74" s="37"/>
      <c r="D74" s="37"/>
      <c r="E74" s="37"/>
      <c r="F74" s="37"/>
      <c r="G74" s="37"/>
      <c r="H74" s="37"/>
      <c r="I74" s="37"/>
      <c r="J74" s="37"/>
      <c r="K74" s="37"/>
    </row>
    <row r="75" spans="1:11" ht="24" x14ac:dyDescent="0.4">
      <c r="A75" s="37"/>
      <c r="B75" s="37"/>
      <c r="C75" s="37"/>
      <c r="D75" s="37"/>
      <c r="E75" s="37"/>
      <c r="F75" s="37"/>
      <c r="G75" s="37"/>
      <c r="H75" s="37"/>
      <c r="I75" s="37"/>
      <c r="J75" s="37"/>
      <c r="K75" s="37"/>
    </row>
    <row r="76" spans="1:11" ht="24" x14ac:dyDescent="0.4">
      <c r="A76" s="37"/>
      <c r="B76" s="37"/>
      <c r="C76" s="37"/>
      <c r="D76" s="37"/>
      <c r="E76" s="37"/>
      <c r="F76" s="37"/>
      <c r="G76" s="37"/>
      <c r="H76" s="37"/>
      <c r="I76" s="37"/>
      <c r="J76" s="37"/>
      <c r="K76" s="37"/>
    </row>
    <row r="77" spans="1:11" ht="24" x14ac:dyDescent="0.4">
      <c r="A77" s="37"/>
      <c r="B77" s="37"/>
      <c r="C77" s="37"/>
      <c r="D77" s="37"/>
      <c r="E77" s="37"/>
      <c r="F77" s="37"/>
      <c r="G77" s="37"/>
      <c r="H77" s="37"/>
      <c r="I77" s="37"/>
      <c r="J77" s="37"/>
      <c r="K77" s="37"/>
    </row>
    <row r="78" spans="1:11" ht="24" x14ac:dyDescent="0.4">
      <c r="A78" s="37"/>
      <c r="B78" s="37"/>
      <c r="C78" s="37"/>
      <c r="D78" s="37"/>
      <c r="E78" s="37"/>
      <c r="F78" s="37"/>
      <c r="G78" s="37"/>
      <c r="H78" s="37"/>
      <c r="I78" s="37"/>
      <c r="J78" s="37"/>
      <c r="K78" s="37"/>
    </row>
    <row r="79" spans="1:11" ht="24" x14ac:dyDescent="0.4">
      <c r="A79" s="37"/>
      <c r="B79" s="37"/>
      <c r="C79" s="37"/>
      <c r="D79" s="37"/>
      <c r="E79" s="37"/>
      <c r="F79" s="37"/>
      <c r="G79" s="37"/>
      <c r="H79" s="37"/>
      <c r="I79" s="37"/>
      <c r="J79" s="37"/>
      <c r="K79" s="37"/>
    </row>
    <row r="80" spans="1:11" ht="24" x14ac:dyDescent="0.4">
      <c r="A80" s="37"/>
      <c r="B80" s="37"/>
      <c r="C80" s="37"/>
      <c r="D80" s="37"/>
      <c r="E80" s="37"/>
      <c r="F80" s="37"/>
      <c r="G80" s="37"/>
      <c r="H80" s="37"/>
      <c r="I80" s="37"/>
      <c r="J80" s="37"/>
      <c r="K80" s="37"/>
    </row>
    <row r="81" spans="1:11" ht="24" x14ac:dyDescent="0.4">
      <c r="A81" s="37"/>
      <c r="B81" s="37"/>
      <c r="C81" s="37"/>
      <c r="D81" s="37"/>
      <c r="E81" s="37"/>
      <c r="F81" s="37"/>
      <c r="G81" s="37"/>
      <c r="H81" s="37"/>
      <c r="I81" s="37"/>
      <c r="J81" s="37"/>
      <c r="K81" s="37"/>
    </row>
    <row r="82" spans="1:11" ht="24" x14ac:dyDescent="0.4">
      <c r="A82" s="37"/>
      <c r="B82" s="37"/>
      <c r="C82" s="37"/>
      <c r="D82" s="37"/>
      <c r="E82" s="37"/>
      <c r="F82" s="37"/>
      <c r="G82" s="37"/>
      <c r="H82" s="37"/>
      <c r="I82" s="37"/>
      <c r="J82" s="37"/>
      <c r="K82" s="37"/>
    </row>
    <row r="83" spans="1:11" ht="24" x14ac:dyDescent="0.4">
      <c r="A83" s="37"/>
      <c r="B83" s="37"/>
      <c r="C83" s="37"/>
      <c r="D83" s="37"/>
      <c r="E83" s="37"/>
      <c r="F83" s="37"/>
      <c r="G83" s="37"/>
      <c r="H83" s="37"/>
      <c r="I83" s="37"/>
      <c r="J83" s="37"/>
      <c r="K83" s="37"/>
    </row>
    <row r="84" spans="1:11" ht="24" x14ac:dyDescent="0.4">
      <c r="A84" s="37"/>
      <c r="B84" s="37"/>
      <c r="C84" s="37"/>
      <c r="D84" s="37"/>
      <c r="E84" s="37"/>
      <c r="F84" s="37"/>
      <c r="G84" s="37"/>
      <c r="H84" s="37"/>
      <c r="I84" s="37"/>
      <c r="J84" s="37"/>
      <c r="K84" s="37"/>
    </row>
    <row r="85" spans="1:11" ht="24" x14ac:dyDescent="0.4">
      <c r="A85" s="37"/>
      <c r="B85" s="37"/>
      <c r="C85" s="37"/>
      <c r="D85" s="37"/>
      <c r="E85" s="37"/>
      <c r="F85" s="37"/>
      <c r="G85" s="37"/>
      <c r="H85" s="37"/>
      <c r="I85" s="37"/>
      <c r="J85" s="37"/>
      <c r="K85" s="37"/>
    </row>
    <row r="86" spans="1:11" ht="24" x14ac:dyDescent="0.4">
      <c r="A86" s="37"/>
      <c r="B86" s="37"/>
      <c r="C86" s="37"/>
      <c r="D86" s="37"/>
      <c r="E86" s="37"/>
      <c r="F86" s="37"/>
      <c r="G86" s="37"/>
      <c r="H86" s="37"/>
      <c r="I86" s="37"/>
      <c r="J86" s="37"/>
      <c r="K86" s="37"/>
    </row>
    <row r="87" spans="1:11" ht="24" x14ac:dyDescent="0.4">
      <c r="A87" s="37"/>
      <c r="B87" s="37"/>
      <c r="C87" s="37"/>
      <c r="D87" s="37"/>
      <c r="E87" s="37"/>
      <c r="F87" s="37"/>
      <c r="G87" s="37"/>
      <c r="H87" s="37"/>
      <c r="I87" s="37"/>
      <c r="J87" s="37"/>
      <c r="K87" s="37"/>
    </row>
    <row r="88" spans="1:11" ht="24" x14ac:dyDescent="0.4">
      <c r="A88" s="37"/>
      <c r="B88" s="37"/>
      <c r="C88" s="37"/>
      <c r="D88" s="37"/>
      <c r="E88" s="37"/>
      <c r="F88" s="37"/>
      <c r="G88" s="37"/>
      <c r="H88" s="37"/>
      <c r="I88" s="37"/>
      <c r="J88" s="37"/>
      <c r="K88" s="37"/>
    </row>
    <row r="89" spans="1:11" ht="24" x14ac:dyDescent="0.4">
      <c r="A89" s="37"/>
      <c r="B89" s="37"/>
      <c r="C89" s="37"/>
      <c r="D89" s="37"/>
      <c r="E89" s="37"/>
      <c r="F89" s="37"/>
      <c r="G89" s="37"/>
      <c r="H89" s="37"/>
      <c r="I89" s="37"/>
      <c r="J89" s="37"/>
      <c r="K89" s="37"/>
    </row>
    <row r="90" spans="1:11" ht="24" x14ac:dyDescent="0.4">
      <c r="A90" s="37"/>
      <c r="B90" s="37"/>
      <c r="C90" s="37"/>
      <c r="D90" s="37"/>
      <c r="E90" s="37"/>
      <c r="F90" s="37"/>
      <c r="G90" s="37"/>
      <c r="H90" s="37"/>
      <c r="I90" s="37"/>
      <c r="J90" s="37"/>
      <c r="K90" s="37"/>
    </row>
    <row r="91" spans="1:11" ht="24" x14ac:dyDescent="0.4">
      <c r="A91" s="37"/>
      <c r="B91" s="37"/>
      <c r="C91" s="37"/>
      <c r="D91" s="37"/>
      <c r="E91" s="37"/>
      <c r="F91" s="37"/>
      <c r="G91" s="37"/>
      <c r="H91" s="37"/>
      <c r="I91" s="37"/>
      <c r="J91" s="37"/>
      <c r="K91" s="37"/>
    </row>
    <row r="92" spans="1:11" ht="24" x14ac:dyDescent="0.4">
      <c r="A92" s="37"/>
      <c r="B92" s="37"/>
      <c r="C92" s="37"/>
      <c r="D92" s="37"/>
      <c r="E92" s="37"/>
      <c r="F92" s="37"/>
      <c r="G92" s="37"/>
      <c r="H92" s="37"/>
      <c r="I92" s="37"/>
      <c r="J92" s="37"/>
      <c r="K92" s="37"/>
    </row>
    <row r="93" spans="1:11" ht="24" x14ac:dyDescent="0.4">
      <c r="A93" s="37"/>
      <c r="B93" s="37"/>
      <c r="C93" s="37"/>
      <c r="D93" s="37"/>
      <c r="E93" s="37"/>
      <c r="F93" s="37"/>
      <c r="G93" s="37"/>
      <c r="H93" s="37"/>
      <c r="I93" s="37"/>
      <c r="J93" s="37"/>
      <c r="K93" s="37"/>
    </row>
    <row r="94" spans="1:11" ht="24" x14ac:dyDescent="0.4">
      <c r="A94" s="37"/>
      <c r="B94" s="37"/>
      <c r="C94" s="37"/>
      <c r="D94" s="37"/>
      <c r="E94" s="37"/>
      <c r="F94" s="37"/>
      <c r="G94" s="37"/>
      <c r="H94" s="37"/>
      <c r="I94" s="37"/>
      <c r="J94" s="37"/>
      <c r="K94" s="37"/>
    </row>
    <row r="95" spans="1:11" ht="24" x14ac:dyDescent="0.4">
      <c r="A95" s="37"/>
      <c r="B95" s="37"/>
      <c r="C95" s="37"/>
      <c r="D95" s="37"/>
      <c r="E95" s="37"/>
      <c r="F95" s="37"/>
      <c r="G95" s="37"/>
      <c r="H95" s="37"/>
      <c r="I95" s="37"/>
      <c r="J95" s="37"/>
      <c r="K95" s="37"/>
    </row>
    <row r="96" spans="1:11" ht="24" x14ac:dyDescent="0.4">
      <c r="A96" s="37"/>
      <c r="B96" s="37"/>
      <c r="C96" s="37"/>
      <c r="D96" s="37"/>
      <c r="E96" s="37"/>
      <c r="F96" s="37"/>
      <c r="G96" s="37"/>
      <c r="H96" s="37"/>
      <c r="I96" s="37"/>
      <c r="J96" s="37"/>
      <c r="K96" s="37"/>
    </row>
    <row r="97" spans="1:11" ht="24" x14ac:dyDescent="0.4">
      <c r="A97" s="37"/>
      <c r="B97" s="37"/>
      <c r="C97" s="37"/>
      <c r="D97" s="37"/>
      <c r="E97" s="37"/>
      <c r="F97" s="37"/>
      <c r="G97" s="37"/>
      <c r="H97" s="37"/>
      <c r="I97" s="37"/>
      <c r="J97" s="37"/>
      <c r="K97" s="37"/>
    </row>
    <row r="98" spans="1:11" ht="24" x14ac:dyDescent="0.4">
      <c r="A98" s="37"/>
      <c r="B98" s="37"/>
      <c r="C98" s="37"/>
      <c r="D98" s="37"/>
      <c r="E98" s="37"/>
      <c r="F98" s="37"/>
      <c r="G98" s="37"/>
      <c r="H98" s="37"/>
      <c r="I98" s="37"/>
      <c r="J98" s="37"/>
      <c r="K98" s="37"/>
    </row>
    <row r="99" spans="1:11" ht="24" x14ac:dyDescent="0.4">
      <c r="A99" s="37"/>
      <c r="B99" s="37"/>
      <c r="C99" s="37"/>
      <c r="D99" s="37"/>
      <c r="E99" s="37"/>
      <c r="F99" s="37"/>
      <c r="G99" s="37"/>
      <c r="H99" s="37"/>
      <c r="I99" s="37"/>
      <c r="J99" s="37"/>
      <c r="K99" s="37"/>
    </row>
    <row r="100" spans="1:11" ht="24" x14ac:dyDescent="0.4">
      <c r="A100" s="37"/>
      <c r="B100" s="37"/>
      <c r="C100" s="37"/>
      <c r="D100" s="37"/>
      <c r="E100" s="37"/>
      <c r="F100" s="37"/>
      <c r="G100" s="37"/>
      <c r="H100" s="37"/>
      <c r="I100" s="37"/>
      <c r="J100" s="37"/>
      <c r="K100" s="37"/>
    </row>
    <row r="101" spans="1:11" ht="24" x14ac:dyDescent="0.4">
      <c r="A101" s="37"/>
      <c r="B101" s="37"/>
      <c r="C101" s="37"/>
      <c r="D101" s="37"/>
      <c r="E101" s="37"/>
      <c r="F101" s="37"/>
      <c r="G101" s="37"/>
      <c r="H101" s="37"/>
      <c r="I101" s="37"/>
      <c r="J101" s="37"/>
      <c r="K101" s="37"/>
    </row>
    <row r="102" spans="1:11" ht="24" x14ac:dyDescent="0.4">
      <c r="A102" s="37"/>
      <c r="B102" s="37"/>
      <c r="C102" s="37"/>
      <c r="D102" s="37"/>
      <c r="E102" s="37"/>
      <c r="F102" s="37"/>
      <c r="G102" s="37"/>
      <c r="H102" s="37"/>
      <c r="I102" s="37"/>
      <c r="J102" s="37"/>
      <c r="K102" s="37"/>
    </row>
    <row r="103" spans="1:11" ht="24" x14ac:dyDescent="0.4">
      <c r="A103" s="37"/>
      <c r="B103" s="37"/>
      <c r="C103" s="37"/>
      <c r="D103" s="37"/>
      <c r="E103" s="37"/>
      <c r="F103" s="37"/>
      <c r="G103" s="37"/>
      <c r="H103" s="37"/>
      <c r="I103" s="37"/>
      <c r="J103" s="37"/>
      <c r="K103" s="37"/>
    </row>
    <row r="104" spans="1:11" ht="24" x14ac:dyDescent="0.4">
      <c r="A104" s="37"/>
      <c r="B104" s="37"/>
      <c r="C104" s="37"/>
      <c r="D104" s="37"/>
      <c r="E104" s="37"/>
      <c r="F104" s="37"/>
      <c r="G104" s="37"/>
      <c r="H104" s="37"/>
      <c r="I104" s="37"/>
      <c r="J104" s="37"/>
      <c r="K104" s="37"/>
    </row>
    <row r="105" spans="1:11" ht="24" x14ac:dyDescent="0.4">
      <c r="A105" s="37"/>
      <c r="B105" s="37"/>
      <c r="C105" s="37"/>
      <c r="D105" s="37"/>
      <c r="E105" s="37"/>
      <c r="F105" s="37"/>
      <c r="G105" s="37"/>
      <c r="H105" s="37"/>
      <c r="I105" s="37"/>
      <c r="J105" s="37"/>
      <c r="K105" s="37"/>
    </row>
    <row r="106" spans="1:11" ht="24" x14ac:dyDescent="0.4">
      <c r="A106" s="37"/>
      <c r="B106" s="37"/>
      <c r="C106" s="37"/>
      <c r="D106" s="37"/>
      <c r="E106" s="37"/>
      <c r="F106" s="37"/>
      <c r="G106" s="37"/>
      <c r="H106" s="37"/>
      <c r="I106" s="37"/>
      <c r="J106" s="37"/>
      <c r="K106" s="37"/>
    </row>
    <row r="107" spans="1:11" ht="24" x14ac:dyDescent="0.4">
      <c r="A107" s="37"/>
      <c r="B107" s="37"/>
      <c r="C107" s="37"/>
      <c r="D107" s="37"/>
      <c r="E107" s="37"/>
      <c r="F107" s="37"/>
      <c r="G107" s="37"/>
      <c r="H107" s="37"/>
      <c r="I107" s="37"/>
      <c r="J107" s="37"/>
      <c r="K107" s="37"/>
    </row>
    <row r="108" spans="1:11" ht="24" x14ac:dyDescent="0.4">
      <c r="A108" s="37"/>
      <c r="B108" s="37"/>
      <c r="C108" s="37"/>
      <c r="D108" s="37"/>
      <c r="E108" s="37"/>
      <c r="F108" s="37"/>
      <c r="G108" s="37"/>
      <c r="H108" s="37"/>
      <c r="I108" s="37"/>
      <c r="J108" s="37"/>
      <c r="K108" s="37"/>
    </row>
    <row r="109" spans="1:11" ht="24" x14ac:dyDescent="0.4">
      <c r="A109" s="37"/>
      <c r="B109" s="37"/>
      <c r="C109" s="37"/>
      <c r="D109" s="37"/>
      <c r="E109" s="37"/>
      <c r="F109" s="37"/>
      <c r="G109" s="37"/>
      <c r="H109" s="37"/>
      <c r="I109" s="37"/>
      <c r="J109" s="37"/>
      <c r="K109" s="37"/>
    </row>
    <row r="110" spans="1:11" ht="24" x14ac:dyDescent="0.4">
      <c r="A110" s="37"/>
      <c r="B110" s="37"/>
      <c r="C110" s="37"/>
      <c r="D110" s="37"/>
      <c r="E110" s="37"/>
      <c r="F110" s="37"/>
      <c r="G110" s="37"/>
      <c r="H110" s="37"/>
      <c r="I110" s="37"/>
      <c r="J110" s="37"/>
      <c r="K110" s="37"/>
    </row>
    <row r="111" spans="1:11" ht="24" x14ac:dyDescent="0.4">
      <c r="A111" s="37"/>
      <c r="B111" s="37"/>
      <c r="C111" s="37"/>
      <c r="D111" s="37"/>
      <c r="E111" s="37"/>
      <c r="F111" s="37"/>
      <c r="G111" s="37"/>
      <c r="H111" s="37"/>
      <c r="I111" s="37"/>
      <c r="J111" s="37"/>
      <c r="K111" s="37"/>
    </row>
    <row r="112" spans="1:11" ht="24" x14ac:dyDescent="0.4">
      <c r="A112" s="37"/>
      <c r="B112" s="37"/>
      <c r="C112" s="37"/>
      <c r="D112" s="37"/>
      <c r="E112" s="37"/>
      <c r="F112" s="37"/>
      <c r="G112" s="37"/>
      <c r="H112" s="37"/>
      <c r="I112" s="37"/>
      <c r="J112" s="37"/>
      <c r="K112" s="37"/>
    </row>
    <row r="113" spans="1:11" ht="24" x14ac:dyDescent="0.4">
      <c r="A113" s="37"/>
      <c r="B113" s="37"/>
      <c r="C113" s="37"/>
      <c r="D113" s="37"/>
      <c r="E113" s="37"/>
      <c r="F113" s="37"/>
      <c r="G113" s="37"/>
      <c r="H113" s="37"/>
      <c r="I113" s="37"/>
      <c r="J113" s="37"/>
      <c r="K113" s="37"/>
    </row>
    <row r="114" spans="1:11" ht="24" x14ac:dyDescent="0.4">
      <c r="A114" s="37"/>
      <c r="B114" s="37"/>
      <c r="C114" s="37"/>
      <c r="D114" s="37"/>
      <c r="E114" s="37"/>
      <c r="F114" s="37"/>
      <c r="G114" s="37"/>
      <c r="H114" s="37"/>
      <c r="I114" s="37"/>
      <c r="J114" s="37"/>
      <c r="K114" s="37"/>
    </row>
    <row r="115" spans="1:11" ht="24" x14ac:dyDescent="0.4">
      <c r="A115" s="37"/>
      <c r="B115" s="37"/>
      <c r="C115" s="37"/>
      <c r="D115" s="37"/>
      <c r="E115" s="37"/>
      <c r="F115" s="37"/>
      <c r="G115" s="37"/>
      <c r="H115" s="37"/>
      <c r="I115" s="37"/>
      <c r="J115" s="37"/>
      <c r="K115" s="37"/>
    </row>
    <row r="116" spans="1:11" ht="24" x14ac:dyDescent="0.4">
      <c r="A116" s="37"/>
      <c r="B116" s="37"/>
      <c r="C116" s="37"/>
      <c r="D116" s="37"/>
      <c r="E116" s="37"/>
      <c r="F116" s="37"/>
      <c r="G116" s="37"/>
      <c r="H116" s="37"/>
      <c r="I116" s="37"/>
      <c r="J116" s="37"/>
      <c r="K116" s="37"/>
    </row>
    <row r="117" spans="1:11" ht="24" x14ac:dyDescent="0.4">
      <c r="A117" s="37"/>
      <c r="B117" s="37"/>
      <c r="C117" s="37"/>
      <c r="D117" s="37"/>
      <c r="E117" s="37"/>
      <c r="F117" s="37"/>
      <c r="G117" s="37"/>
      <c r="H117" s="37"/>
      <c r="I117" s="37"/>
      <c r="J117" s="37"/>
      <c r="K117" s="37"/>
    </row>
    <row r="118" spans="1:11" ht="24" x14ac:dyDescent="0.4">
      <c r="A118" s="37"/>
      <c r="B118" s="37"/>
      <c r="C118" s="37"/>
      <c r="D118" s="37"/>
      <c r="E118" s="37"/>
      <c r="F118" s="37"/>
      <c r="G118" s="37"/>
      <c r="H118" s="37"/>
      <c r="I118" s="37"/>
      <c r="J118" s="37"/>
      <c r="K118" s="37"/>
    </row>
    <row r="119" spans="1:11" ht="24" x14ac:dyDescent="0.4">
      <c r="A119" s="37"/>
      <c r="B119" s="37"/>
      <c r="C119" s="37"/>
      <c r="D119" s="37"/>
      <c r="E119" s="37"/>
      <c r="F119" s="37"/>
      <c r="G119" s="37"/>
      <c r="H119" s="37"/>
      <c r="I119" s="37"/>
      <c r="J119" s="37"/>
      <c r="K119" s="37"/>
    </row>
    <row r="120" spans="1:11" ht="24" x14ac:dyDescent="0.4">
      <c r="A120" s="37"/>
      <c r="B120" s="37"/>
      <c r="C120" s="37"/>
      <c r="D120" s="37"/>
      <c r="E120" s="37"/>
      <c r="F120" s="37"/>
      <c r="G120" s="37"/>
      <c r="H120" s="37"/>
      <c r="I120" s="37"/>
      <c r="J120" s="37"/>
      <c r="K120" s="37"/>
    </row>
    <row r="121" spans="1:11" ht="24" x14ac:dyDescent="0.4">
      <c r="A121" s="37"/>
      <c r="B121" s="37"/>
      <c r="C121" s="37"/>
      <c r="D121" s="37"/>
      <c r="E121" s="37"/>
      <c r="F121" s="37"/>
      <c r="G121" s="37"/>
      <c r="H121" s="37"/>
      <c r="I121" s="37"/>
      <c r="J121" s="37"/>
      <c r="K121" s="37"/>
    </row>
    <row r="122" spans="1:11" ht="24" x14ac:dyDescent="0.4">
      <c r="A122" s="37"/>
      <c r="B122" s="37"/>
      <c r="C122" s="37"/>
      <c r="D122" s="37"/>
      <c r="E122" s="37"/>
      <c r="F122" s="37"/>
      <c r="G122" s="37"/>
      <c r="H122" s="37"/>
      <c r="I122" s="37"/>
      <c r="J122" s="37"/>
      <c r="K122" s="37"/>
    </row>
    <row r="123" spans="1:11" ht="24" x14ac:dyDescent="0.4">
      <c r="A123" s="37"/>
      <c r="B123" s="37"/>
      <c r="C123" s="37"/>
      <c r="D123" s="37"/>
      <c r="E123" s="37"/>
      <c r="F123" s="37"/>
      <c r="G123" s="37"/>
      <c r="H123" s="37"/>
      <c r="I123" s="37"/>
      <c r="J123" s="37"/>
      <c r="K123" s="37"/>
    </row>
    <row r="124" spans="1:11" ht="24" x14ac:dyDescent="0.4">
      <c r="A124" s="37"/>
      <c r="B124" s="37"/>
      <c r="C124" s="37"/>
      <c r="D124" s="37"/>
      <c r="E124" s="37"/>
      <c r="F124" s="37"/>
      <c r="G124" s="37"/>
      <c r="H124" s="37"/>
      <c r="I124" s="37"/>
      <c r="J124" s="37"/>
      <c r="K124" s="37"/>
    </row>
    <row r="125" spans="1:11" ht="24" x14ac:dyDescent="0.4">
      <c r="A125" s="37"/>
      <c r="B125" s="37"/>
      <c r="C125" s="37"/>
      <c r="D125" s="37"/>
      <c r="E125" s="37"/>
      <c r="F125" s="37"/>
      <c r="G125" s="37"/>
      <c r="H125" s="37"/>
      <c r="I125" s="37"/>
      <c r="J125" s="37"/>
      <c r="K125" s="37"/>
    </row>
    <row r="126" spans="1:11" ht="24" x14ac:dyDescent="0.4">
      <c r="A126" s="37"/>
      <c r="B126" s="37"/>
      <c r="C126" s="37"/>
      <c r="D126" s="37"/>
      <c r="E126" s="37"/>
      <c r="F126" s="37"/>
      <c r="G126" s="37"/>
      <c r="H126" s="37"/>
      <c r="I126" s="37"/>
      <c r="J126" s="37"/>
      <c r="K126" s="37"/>
    </row>
    <row r="127" spans="1:11" ht="24" x14ac:dyDescent="0.4">
      <c r="A127" s="37"/>
      <c r="B127" s="37"/>
      <c r="C127" s="37"/>
      <c r="D127" s="37"/>
      <c r="E127" s="37"/>
      <c r="F127" s="37"/>
      <c r="G127" s="37"/>
      <c r="H127" s="37"/>
      <c r="I127" s="37"/>
      <c r="J127" s="37"/>
      <c r="K127" s="37"/>
    </row>
    <row r="128" spans="1:11" ht="24" x14ac:dyDescent="0.4">
      <c r="A128" s="37"/>
      <c r="B128" s="37"/>
      <c r="C128" s="37"/>
      <c r="D128" s="37"/>
      <c r="E128" s="37"/>
      <c r="F128" s="37"/>
      <c r="G128" s="37"/>
      <c r="H128" s="37"/>
      <c r="I128" s="37"/>
      <c r="J128" s="37"/>
      <c r="K128" s="37"/>
    </row>
    <row r="129" spans="1:11" ht="24" x14ac:dyDescent="0.4">
      <c r="A129" s="37"/>
      <c r="B129" s="37"/>
      <c r="C129" s="37"/>
      <c r="D129" s="37"/>
      <c r="E129" s="37"/>
      <c r="F129" s="37"/>
      <c r="G129" s="37"/>
      <c r="H129" s="37"/>
      <c r="I129" s="37"/>
      <c r="J129" s="37"/>
      <c r="K129" s="37"/>
    </row>
    <row r="130" spans="1:11" ht="24" x14ac:dyDescent="0.4">
      <c r="A130" s="37"/>
      <c r="B130" s="37"/>
      <c r="C130" s="37"/>
      <c r="D130" s="37"/>
      <c r="E130" s="37"/>
      <c r="F130" s="37"/>
      <c r="G130" s="37"/>
      <c r="H130" s="37"/>
      <c r="I130" s="37"/>
      <c r="J130" s="37"/>
      <c r="K130" s="37"/>
    </row>
    <row r="131" spans="1:11" ht="24" x14ac:dyDescent="0.4">
      <c r="A131" s="37"/>
      <c r="B131" s="37"/>
      <c r="C131" s="37"/>
      <c r="D131" s="37"/>
      <c r="E131" s="37"/>
      <c r="F131" s="37"/>
      <c r="G131" s="37"/>
      <c r="H131" s="37"/>
      <c r="I131" s="37"/>
      <c r="J131" s="37"/>
      <c r="K131" s="37"/>
    </row>
    <row r="132" spans="1:11" ht="24" x14ac:dyDescent="0.4">
      <c r="A132" s="37"/>
      <c r="B132" s="37"/>
      <c r="C132" s="37"/>
      <c r="D132" s="37"/>
      <c r="E132" s="37"/>
      <c r="F132" s="37"/>
      <c r="G132" s="37"/>
      <c r="H132" s="37"/>
      <c r="I132" s="37"/>
      <c r="J132" s="37"/>
      <c r="K132" s="37"/>
    </row>
    <row r="133" spans="1:11" ht="24" x14ac:dyDescent="0.4">
      <c r="A133" s="37"/>
      <c r="B133" s="37"/>
      <c r="C133" s="37"/>
      <c r="D133" s="37"/>
      <c r="E133" s="37"/>
      <c r="F133" s="37"/>
      <c r="G133" s="37"/>
      <c r="H133" s="37"/>
      <c r="I133" s="37"/>
      <c r="J133" s="37"/>
      <c r="K133" s="37"/>
    </row>
    <row r="134" spans="1:11" ht="24" x14ac:dyDescent="0.4">
      <c r="A134" s="37"/>
      <c r="B134" s="37"/>
      <c r="C134" s="37"/>
      <c r="D134" s="37"/>
      <c r="E134" s="37"/>
      <c r="F134" s="37"/>
      <c r="G134" s="37"/>
      <c r="H134" s="37"/>
      <c r="I134" s="37"/>
      <c r="J134" s="37"/>
      <c r="K134" s="37"/>
    </row>
    <row r="135" spans="1:11" ht="24" x14ac:dyDescent="0.4">
      <c r="A135" s="37"/>
      <c r="B135" s="37"/>
      <c r="C135" s="37"/>
      <c r="D135" s="37"/>
      <c r="E135" s="37"/>
      <c r="F135" s="37"/>
      <c r="G135" s="37"/>
      <c r="H135" s="37"/>
      <c r="I135" s="37"/>
      <c r="J135" s="37"/>
      <c r="K135" s="37"/>
    </row>
    <row r="136" spans="1:11" ht="24" x14ac:dyDescent="0.4">
      <c r="A136" s="37"/>
      <c r="B136" s="37"/>
      <c r="C136" s="37"/>
      <c r="D136" s="37"/>
      <c r="E136" s="37"/>
      <c r="F136" s="37"/>
      <c r="G136" s="37"/>
      <c r="H136" s="37"/>
      <c r="I136" s="37"/>
      <c r="J136" s="37"/>
      <c r="K136" s="37"/>
    </row>
    <row r="137" spans="1:11" ht="24" x14ac:dyDescent="0.4">
      <c r="A137" s="37"/>
      <c r="B137" s="37"/>
      <c r="C137" s="37"/>
      <c r="D137" s="37"/>
      <c r="E137" s="37"/>
      <c r="F137" s="37"/>
      <c r="G137" s="37"/>
      <c r="H137" s="37"/>
      <c r="I137" s="37"/>
      <c r="J137" s="37"/>
      <c r="K137" s="37"/>
    </row>
    <row r="138" spans="1:11" ht="24" x14ac:dyDescent="0.4">
      <c r="A138" s="37"/>
      <c r="B138" s="37"/>
      <c r="C138" s="37"/>
      <c r="D138" s="37"/>
      <c r="E138" s="37"/>
      <c r="F138" s="37"/>
      <c r="G138" s="37"/>
      <c r="H138" s="37"/>
      <c r="I138" s="37"/>
      <c r="J138" s="37"/>
      <c r="K138" s="37"/>
    </row>
    <row r="139" spans="1:11" ht="24" x14ac:dyDescent="0.4">
      <c r="A139" s="37"/>
      <c r="B139" s="37"/>
      <c r="C139" s="37"/>
      <c r="D139" s="37"/>
      <c r="E139" s="37"/>
      <c r="F139" s="37"/>
      <c r="G139" s="37"/>
      <c r="H139" s="37"/>
      <c r="I139" s="37"/>
      <c r="J139" s="37"/>
      <c r="K139" s="37"/>
    </row>
    <row r="140" spans="1:11" ht="24" x14ac:dyDescent="0.4">
      <c r="A140" s="37"/>
      <c r="B140" s="37"/>
      <c r="C140" s="37"/>
      <c r="D140" s="37"/>
      <c r="E140" s="37"/>
      <c r="F140" s="37"/>
      <c r="G140" s="37"/>
      <c r="H140" s="37"/>
      <c r="I140" s="37"/>
      <c r="J140" s="37"/>
      <c r="K140" s="37"/>
    </row>
    <row r="141" spans="1:11" ht="24" x14ac:dyDescent="0.4">
      <c r="A141" s="37"/>
      <c r="B141" s="37"/>
      <c r="C141" s="37"/>
      <c r="D141" s="37"/>
      <c r="E141" s="37"/>
      <c r="F141" s="37"/>
      <c r="G141" s="37"/>
      <c r="H141" s="37"/>
      <c r="I141" s="37"/>
      <c r="J141" s="37"/>
      <c r="K141" s="37"/>
    </row>
    <row r="142" spans="1:11" ht="24" x14ac:dyDescent="0.4">
      <c r="A142" s="37"/>
      <c r="B142" s="37"/>
      <c r="C142" s="37"/>
      <c r="D142" s="37"/>
      <c r="E142" s="37"/>
      <c r="F142" s="37"/>
      <c r="G142" s="37"/>
      <c r="H142" s="37"/>
      <c r="I142" s="37"/>
      <c r="J142" s="37"/>
      <c r="K142" s="37"/>
    </row>
    <row r="143" spans="1:11" ht="24" x14ac:dyDescent="0.4">
      <c r="A143" s="37"/>
      <c r="B143" s="37"/>
      <c r="C143" s="37"/>
      <c r="D143" s="37"/>
      <c r="E143" s="37"/>
      <c r="F143" s="37"/>
      <c r="G143" s="37"/>
      <c r="H143" s="37"/>
      <c r="I143" s="37"/>
      <c r="J143" s="37"/>
      <c r="K143" s="37"/>
    </row>
    <row r="144" spans="1:11" ht="24" x14ac:dyDescent="0.4">
      <c r="A144" s="37"/>
      <c r="B144" s="37"/>
      <c r="C144" s="37"/>
      <c r="D144" s="37"/>
      <c r="E144" s="37"/>
      <c r="F144" s="37"/>
      <c r="G144" s="37"/>
      <c r="H144" s="37"/>
      <c r="I144" s="37"/>
      <c r="J144" s="37"/>
      <c r="K144" s="37"/>
    </row>
    <row r="145" spans="1:11" ht="24" x14ac:dyDescent="0.4">
      <c r="A145" s="37"/>
      <c r="B145" s="37"/>
      <c r="C145" s="37"/>
      <c r="D145" s="37"/>
      <c r="E145" s="37"/>
      <c r="F145" s="37"/>
      <c r="G145" s="37"/>
      <c r="H145" s="37"/>
      <c r="I145" s="37"/>
      <c r="J145" s="37"/>
      <c r="K145" s="37"/>
    </row>
    <row r="146" spans="1:11" ht="24" x14ac:dyDescent="0.4">
      <c r="A146" s="37"/>
      <c r="B146" s="37"/>
      <c r="C146" s="37"/>
      <c r="D146" s="37"/>
      <c r="E146" s="37"/>
      <c r="F146" s="37"/>
      <c r="G146" s="37"/>
      <c r="H146" s="37"/>
      <c r="I146" s="37"/>
      <c r="J146" s="37"/>
      <c r="K146" s="37"/>
    </row>
    <row r="147" spans="1:11" ht="24" x14ac:dyDescent="0.4">
      <c r="A147" s="37"/>
      <c r="B147" s="37"/>
      <c r="C147" s="37"/>
      <c r="D147" s="37"/>
      <c r="E147" s="37"/>
      <c r="F147" s="37"/>
      <c r="G147" s="37"/>
      <c r="H147" s="37"/>
      <c r="I147" s="37"/>
      <c r="J147" s="37"/>
      <c r="K147" s="37"/>
    </row>
    <row r="148" spans="1:11" ht="24" x14ac:dyDescent="0.4">
      <c r="A148" s="37"/>
      <c r="B148" s="37"/>
      <c r="C148" s="37"/>
      <c r="D148" s="37"/>
      <c r="E148" s="37"/>
      <c r="F148" s="37"/>
      <c r="G148" s="37"/>
      <c r="H148" s="37"/>
      <c r="I148" s="37"/>
      <c r="J148" s="37"/>
      <c r="K148" s="37"/>
    </row>
    <row r="149" spans="1:11" ht="24" x14ac:dyDescent="0.4">
      <c r="A149" s="37"/>
      <c r="B149" s="37"/>
      <c r="C149" s="37"/>
      <c r="D149" s="37"/>
      <c r="E149" s="37"/>
      <c r="F149" s="37"/>
      <c r="G149" s="37"/>
      <c r="H149" s="37"/>
      <c r="I149" s="37"/>
      <c r="J149" s="37"/>
      <c r="K149" s="37"/>
    </row>
    <row r="150" spans="1:11" ht="24" x14ac:dyDescent="0.4">
      <c r="A150" s="37"/>
      <c r="B150" s="37"/>
      <c r="C150" s="37"/>
      <c r="D150" s="37"/>
      <c r="E150" s="37"/>
      <c r="F150" s="37"/>
      <c r="G150" s="37"/>
      <c r="H150" s="37"/>
      <c r="I150" s="37"/>
      <c r="J150" s="37"/>
      <c r="K150" s="37"/>
    </row>
    <row r="151" spans="1:11" ht="24" x14ac:dyDescent="0.4">
      <c r="A151" s="37"/>
      <c r="B151" s="37"/>
      <c r="C151" s="37"/>
      <c r="D151" s="37"/>
      <c r="E151" s="37"/>
      <c r="F151" s="37"/>
      <c r="G151" s="37"/>
      <c r="H151" s="37"/>
      <c r="I151" s="37"/>
      <c r="J151" s="37"/>
      <c r="K151" s="37"/>
    </row>
    <row r="152" spans="1:11" ht="24" x14ac:dyDescent="0.4">
      <c r="A152" s="37"/>
      <c r="B152" s="37"/>
      <c r="C152" s="37"/>
      <c r="D152" s="37"/>
      <c r="E152" s="37"/>
      <c r="F152" s="37"/>
      <c r="G152" s="37"/>
      <c r="H152" s="37"/>
      <c r="I152" s="37"/>
      <c r="J152" s="37"/>
      <c r="K152" s="37"/>
    </row>
    <row r="153" spans="1:11" ht="24" x14ac:dyDescent="0.4">
      <c r="A153" s="37"/>
      <c r="B153" s="37"/>
      <c r="C153" s="37"/>
      <c r="D153" s="37"/>
      <c r="E153" s="37"/>
      <c r="F153" s="37"/>
      <c r="G153" s="37"/>
      <c r="H153" s="37"/>
      <c r="I153" s="37"/>
      <c r="J153" s="37"/>
      <c r="K153" s="37"/>
    </row>
    <row r="154" spans="1:11" ht="24" x14ac:dyDescent="0.4">
      <c r="A154" s="37"/>
      <c r="B154" s="37"/>
      <c r="C154" s="37"/>
      <c r="D154" s="37"/>
      <c r="E154" s="37"/>
      <c r="F154" s="37"/>
      <c r="G154" s="37"/>
      <c r="H154" s="37"/>
      <c r="I154" s="37"/>
      <c r="J154" s="37"/>
      <c r="K154" s="37"/>
    </row>
    <row r="155" spans="1:11" ht="24" x14ac:dyDescent="0.4">
      <c r="A155" s="37"/>
      <c r="B155" s="37"/>
      <c r="C155" s="37"/>
      <c r="D155" s="37"/>
      <c r="E155" s="37"/>
      <c r="F155" s="37"/>
      <c r="G155" s="37"/>
      <c r="H155" s="37"/>
      <c r="I155" s="37"/>
      <c r="J155" s="37"/>
      <c r="K155" s="37"/>
    </row>
    <row r="156" spans="1:11" ht="24" x14ac:dyDescent="0.4">
      <c r="A156" s="37"/>
      <c r="B156" s="37"/>
      <c r="C156" s="37"/>
      <c r="D156" s="37"/>
      <c r="E156" s="37"/>
      <c r="F156" s="37"/>
      <c r="G156" s="37"/>
      <c r="H156" s="37"/>
      <c r="I156" s="37"/>
      <c r="J156" s="37"/>
      <c r="K156" s="37"/>
    </row>
  </sheetData>
  <sheetProtection sheet="1" objects="1" scenarios="1"/>
  <mergeCells count="8">
    <mergeCell ref="A1:J1"/>
    <mergeCell ref="K1:L1"/>
    <mergeCell ref="D27:L27"/>
    <mergeCell ref="C23:L23"/>
    <mergeCell ref="D7:L8"/>
    <mergeCell ref="D10:L13"/>
    <mergeCell ref="C16:L18"/>
    <mergeCell ref="D22:L22"/>
  </mergeCells>
  <phoneticPr fontId="2"/>
  <printOptions horizontalCentered="1"/>
  <pageMargins left="0.31496062992125984" right="0.31496062992125984" top="0.55118110236220474" bottom="0.55118110236220474" header="0.31496062992125984" footer="0.31496062992125984"/>
  <pageSetup paperSize="9"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D72B1-B0EB-4063-A15B-80D81DE68E0B}">
  <sheetPr codeName="Sheet8"/>
  <dimension ref="A1:W126"/>
  <sheetViews>
    <sheetView view="pageBreakPreview" zoomScale="60" zoomScaleNormal="100" workbookViewId="0">
      <selection sqref="A1:J1"/>
    </sheetView>
  </sheetViews>
  <sheetFormatPr defaultColWidth="9" defaultRowHeight="18.75" x14ac:dyDescent="0.4"/>
  <cols>
    <col min="1" max="42" width="3.625" style="96" customWidth="1"/>
    <col min="43" max="16384" width="9" style="96"/>
  </cols>
  <sheetData>
    <row r="1" spans="1:23" ht="37.5" customHeight="1" x14ac:dyDescent="0.5">
      <c r="A1" s="403" t="s">
        <v>489</v>
      </c>
      <c r="B1" s="403"/>
      <c r="C1" s="403"/>
      <c r="D1" s="403"/>
      <c r="E1" s="403"/>
      <c r="F1" s="403"/>
      <c r="G1" s="403"/>
      <c r="H1" s="403"/>
      <c r="I1" s="403"/>
      <c r="J1" s="403"/>
      <c r="K1" s="403"/>
      <c r="L1" s="403"/>
      <c r="M1" s="403"/>
      <c r="N1" s="403"/>
      <c r="O1" s="403"/>
      <c r="P1" s="403"/>
      <c r="Q1" s="403"/>
      <c r="R1" s="403"/>
      <c r="S1" s="403"/>
      <c r="T1" s="403"/>
      <c r="U1" s="403"/>
      <c r="V1" s="375" t="str">
        <f>IFERROR(VLOOKUP($A$1,送付状!$B$18:$O$28,2,FALSE),"")</f>
        <v>⑹</v>
      </c>
      <c r="W1" s="375"/>
    </row>
    <row r="2" spans="1:23" ht="24" customHeight="1" x14ac:dyDescent="0.4">
      <c r="A2" s="405" t="str">
        <f>基本情報入力!$C$23&amp;""</f>
        <v/>
      </c>
      <c r="B2" s="405"/>
      <c r="C2" s="405"/>
      <c r="D2" s="405"/>
      <c r="E2" s="405"/>
      <c r="F2" s="405"/>
      <c r="G2" s="405"/>
      <c r="H2" s="405"/>
      <c r="I2" s="405"/>
      <c r="J2" s="405"/>
      <c r="K2" s="405"/>
      <c r="L2" s="405"/>
      <c r="M2" s="405"/>
      <c r="N2" s="405"/>
      <c r="O2" s="405"/>
      <c r="P2" s="405"/>
      <c r="Q2" s="405"/>
      <c r="R2" s="405"/>
      <c r="S2" s="406" t="s">
        <v>232</v>
      </c>
      <c r="T2" s="406"/>
      <c r="U2" s="406"/>
      <c r="V2" s="406"/>
      <c r="W2" s="406"/>
    </row>
    <row r="3" spans="1:23" ht="18.75" customHeight="1" x14ac:dyDescent="0.4">
      <c r="A3" s="404" t="s">
        <v>501</v>
      </c>
      <c r="B3" s="404"/>
      <c r="C3" s="404"/>
      <c r="D3" s="404"/>
      <c r="E3" s="404"/>
      <c r="F3" s="404"/>
      <c r="G3" s="404"/>
      <c r="H3" s="404"/>
      <c r="I3" s="404"/>
      <c r="J3" s="404"/>
      <c r="K3" s="404"/>
      <c r="L3" s="404"/>
      <c r="M3" s="404"/>
      <c r="N3" s="404"/>
      <c r="O3" s="404"/>
      <c r="P3" s="404"/>
      <c r="Q3" s="404"/>
      <c r="R3" s="404"/>
      <c r="S3" s="404"/>
      <c r="T3" s="404"/>
      <c r="U3" s="404"/>
      <c r="V3" s="404"/>
      <c r="W3" s="404"/>
    </row>
    <row r="4" spans="1:23" ht="18.75" customHeight="1" x14ac:dyDescent="0.4">
      <c r="A4" s="404"/>
      <c r="B4" s="404"/>
      <c r="C4" s="404"/>
      <c r="D4" s="404"/>
      <c r="E4" s="404"/>
      <c r="F4" s="404"/>
      <c r="G4" s="404"/>
      <c r="H4" s="404"/>
      <c r="I4" s="404"/>
      <c r="J4" s="404"/>
      <c r="K4" s="404"/>
      <c r="L4" s="404"/>
      <c r="M4" s="404"/>
      <c r="N4" s="404"/>
      <c r="O4" s="404"/>
      <c r="P4" s="404"/>
      <c r="Q4" s="404"/>
      <c r="R4" s="404"/>
      <c r="S4" s="404"/>
      <c r="T4" s="404"/>
      <c r="U4" s="404"/>
      <c r="V4" s="404"/>
      <c r="W4" s="404"/>
    </row>
    <row r="5" spans="1:23" ht="18.75" customHeight="1" x14ac:dyDescent="0.4">
      <c r="A5" s="404"/>
      <c r="B5" s="404"/>
      <c r="C5" s="404"/>
      <c r="D5" s="404"/>
      <c r="E5" s="404"/>
      <c r="F5" s="404"/>
      <c r="G5" s="404"/>
      <c r="H5" s="404"/>
      <c r="I5" s="404"/>
      <c r="J5" s="404"/>
      <c r="K5" s="404"/>
      <c r="L5" s="404"/>
      <c r="M5" s="404"/>
      <c r="N5" s="404"/>
      <c r="O5" s="404"/>
      <c r="P5" s="404"/>
      <c r="Q5" s="404"/>
      <c r="R5" s="404"/>
      <c r="S5" s="404"/>
      <c r="T5" s="404"/>
      <c r="U5" s="404"/>
      <c r="V5" s="404"/>
      <c r="W5" s="404"/>
    </row>
    <row r="6" spans="1:23" x14ac:dyDescent="0.4">
      <c r="A6" s="404"/>
      <c r="B6" s="404"/>
      <c r="C6" s="404"/>
      <c r="D6" s="404"/>
      <c r="E6" s="404"/>
      <c r="F6" s="404"/>
      <c r="G6" s="404"/>
      <c r="H6" s="404"/>
      <c r="I6" s="404"/>
      <c r="J6" s="404"/>
      <c r="K6" s="404"/>
      <c r="L6" s="404"/>
      <c r="M6" s="404"/>
      <c r="N6" s="404"/>
      <c r="O6" s="404"/>
      <c r="P6" s="404"/>
      <c r="Q6" s="404"/>
      <c r="R6" s="404"/>
      <c r="S6" s="404"/>
      <c r="T6" s="404"/>
      <c r="U6" s="404"/>
      <c r="V6" s="404"/>
      <c r="W6" s="404"/>
    </row>
    <row r="7" spans="1:23" ht="20.25" customHeight="1" x14ac:dyDescent="0.4">
      <c r="A7" s="249" t="s">
        <v>115</v>
      </c>
      <c r="B7" s="399" t="str">
        <f>基本情報入力!$G$49&amp;""</f>
        <v/>
      </c>
      <c r="C7" s="399"/>
      <c r="D7" s="399"/>
      <c r="E7" s="399"/>
      <c r="F7" s="399"/>
      <c r="G7" s="399"/>
      <c r="H7" s="250"/>
      <c r="I7" s="249" t="s">
        <v>120</v>
      </c>
      <c r="J7" s="399" t="str">
        <f>基本情報入力!$G$52&amp;""</f>
        <v/>
      </c>
      <c r="K7" s="399"/>
      <c r="L7" s="399"/>
      <c r="M7" s="399"/>
      <c r="N7" s="399"/>
      <c r="O7" s="399"/>
      <c r="P7" s="250"/>
      <c r="Q7" s="249" t="s">
        <v>126</v>
      </c>
      <c r="R7" s="399" t="str">
        <f>基本情報入力!$G$55&amp;""</f>
        <v/>
      </c>
      <c r="S7" s="399"/>
      <c r="T7" s="399"/>
      <c r="U7" s="399"/>
      <c r="V7" s="399"/>
      <c r="W7" s="399"/>
    </row>
    <row r="8" spans="1:23" ht="20.25" customHeight="1" x14ac:dyDescent="0.4">
      <c r="A8" s="249" t="s">
        <v>116</v>
      </c>
      <c r="B8" s="399" t="str">
        <f>基本情報入力!$G$50&amp;""</f>
        <v/>
      </c>
      <c r="C8" s="399"/>
      <c r="D8" s="399"/>
      <c r="E8" s="399"/>
      <c r="F8" s="399"/>
      <c r="G8" s="399"/>
      <c r="H8" s="250"/>
      <c r="I8" s="249" t="s">
        <v>122</v>
      </c>
      <c r="J8" s="399" t="str">
        <f>基本情報入力!$G$53&amp;""</f>
        <v/>
      </c>
      <c r="K8" s="399"/>
      <c r="L8" s="399"/>
      <c r="M8" s="399"/>
      <c r="N8" s="399"/>
      <c r="O8" s="399"/>
      <c r="P8" s="250"/>
      <c r="Q8" s="249" t="s">
        <v>127</v>
      </c>
      <c r="R8" s="399" t="str">
        <f>基本情報入力!$G$56&amp;""</f>
        <v/>
      </c>
      <c r="S8" s="399"/>
      <c r="T8" s="399"/>
      <c r="U8" s="399"/>
      <c r="V8" s="399"/>
      <c r="W8" s="399"/>
    </row>
    <row r="9" spans="1:23" ht="20.25" customHeight="1" x14ac:dyDescent="0.4">
      <c r="A9" s="249" t="s">
        <v>119</v>
      </c>
      <c r="B9" s="399" t="str">
        <f>基本情報入力!$G$51&amp;""</f>
        <v/>
      </c>
      <c r="C9" s="399"/>
      <c r="D9" s="399"/>
      <c r="E9" s="399"/>
      <c r="F9" s="399"/>
      <c r="G9" s="399"/>
      <c r="H9" s="250"/>
      <c r="I9" s="249" t="s">
        <v>125</v>
      </c>
      <c r="J9" s="399" t="str">
        <f>基本情報入力!$G$54&amp;""</f>
        <v/>
      </c>
      <c r="K9" s="399"/>
      <c r="L9" s="399"/>
      <c r="M9" s="399"/>
      <c r="N9" s="399"/>
      <c r="O9" s="399"/>
      <c r="P9" s="250"/>
      <c r="Q9" s="249" t="s">
        <v>131</v>
      </c>
      <c r="R9" s="399" t="str">
        <f>基本情報入力!$G$57&amp;""</f>
        <v/>
      </c>
      <c r="S9" s="399"/>
      <c r="T9" s="399"/>
      <c r="U9" s="399"/>
      <c r="V9" s="399"/>
      <c r="W9" s="399"/>
    </row>
    <row r="10" spans="1:23" ht="45.75" customHeight="1" x14ac:dyDescent="0.4">
      <c r="A10" s="248"/>
      <c r="B10" s="248"/>
      <c r="C10" s="248"/>
      <c r="D10" s="248"/>
      <c r="E10" s="248"/>
      <c r="F10" s="248"/>
      <c r="G10" s="248"/>
      <c r="H10" s="248"/>
      <c r="I10" s="248"/>
      <c r="J10" s="248"/>
      <c r="K10" s="248"/>
      <c r="L10" s="248"/>
      <c r="M10" s="248"/>
      <c r="N10" s="248"/>
      <c r="O10" s="248"/>
      <c r="P10" s="248"/>
      <c r="Q10" s="248"/>
      <c r="R10" s="248"/>
      <c r="S10" s="248"/>
      <c r="T10" s="248"/>
      <c r="U10" s="248"/>
      <c r="V10" s="248"/>
      <c r="W10" s="248"/>
    </row>
    <row r="11" spans="1:23" ht="18.75" customHeight="1" x14ac:dyDescent="0.4">
      <c r="A11" s="404" t="s">
        <v>495</v>
      </c>
      <c r="B11" s="404"/>
      <c r="C11" s="404"/>
      <c r="D11" s="404"/>
      <c r="E11" s="404"/>
      <c r="F11" s="404"/>
      <c r="G11" s="404"/>
      <c r="H11" s="404"/>
      <c r="I11" s="404"/>
      <c r="J11" s="404"/>
      <c r="K11" s="404"/>
      <c r="L11" s="404"/>
      <c r="M11" s="404"/>
      <c r="N11" s="404"/>
      <c r="O11" s="404"/>
      <c r="P11" s="404"/>
      <c r="Q11" s="404"/>
      <c r="R11" s="404"/>
      <c r="S11" s="404"/>
      <c r="T11" s="404"/>
      <c r="U11" s="404"/>
      <c r="V11" s="404"/>
      <c r="W11" s="404"/>
    </row>
    <row r="12" spans="1:23" x14ac:dyDescent="0.4">
      <c r="A12" s="404"/>
      <c r="B12" s="404"/>
      <c r="C12" s="404"/>
      <c r="D12" s="404"/>
      <c r="E12" s="404"/>
      <c r="F12" s="404"/>
      <c r="G12" s="404"/>
      <c r="H12" s="404"/>
      <c r="I12" s="404"/>
      <c r="J12" s="404"/>
      <c r="K12" s="404"/>
      <c r="L12" s="404"/>
      <c r="M12" s="404"/>
      <c r="N12" s="404"/>
      <c r="O12" s="404"/>
      <c r="P12" s="404"/>
      <c r="Q12" s="404"/>
      <c r="R12" s="404"/>
      <c r="S12" s="404"/>
      <c r="T12" s="404"/>
      <c r="U12" s="404"/>
      <c r="V12" s="404"/>
      <c r="W12" s="404"/>
    </row>
    <row r="13" spans="1:23" x14ac:dyDescent="0.4">
      <c r="A13" s="404"/>
      <c r="B13" s="404"/>
      <c r="C13" s="404"/>
      <c r="D13" s="404"/>
      <c r="E13" s="404"/>
      <c r="F13" s="404"/>
      <c r="G13" s="404"/>
      <c r="H13" s="404"/>
      <c r="I13" s="404"/>
      <c r="J13" s="404"/>
      <c r="K13" s="404"/>
      <c r="L13" s="404"/>
      <c r="M13" s="404"/>
      <c r="N13" s="404"/>
      <c r="O13" s="404"/>
      <c r="P13" s="404"/>
      <c r="Q13" s="404"/>
      <c r="R13" s="404"/>
      <c r="S13" s="404"/>
      <c r="T13" s="404"/>
      <c r="U13" s="404"/>
      <c r="V13" s="404"/>
      <c r="W13" s="404"/>
    </row>
    <row r="14" spans="1:23" x14ac:dyDescent="0.4">
      <c r="A14" s="404"/>
      <c r="B14" s="404"/>
      <c r="C14" s="404"/>
      <c r="D14" s="404"/>
      <c r="E14" s="404"/>
      <c r="F14" s="404"/>
      <c r="G14" s="404"/>
      <c r="H14" s="404"/>
      <c r="I14" s="404"/>
      <c r="J14" s="404"/>
      <c r="K14" s="404"/>
      <c r="L14" s="404"/>
      <c r="M14" s="404"/>
      <c r="N14" s="404"/>
      <c r="O14" s="404"/>
      <c r="P14" s="404"/>
      <c r="Q14" s="404"/>
      <c r="R14" s="404"/>
      <c r="S14" s="404"/>
      <c r="T14" s="404"/>
      <c r="U14" s="404"/>
      <c r="V14" s="404"/>
      <c r="W14" s="404"/>
    </row>
    <row r="15" spans="1:23" ht="18" customHeight="1" x14ac:dyDescent="0.4">
      <c r="A15" s="404"/>
      <c r="B15" s="404"/>
      <c r="C15" s="404"/>
      <c r="D15" s="404"/>
      <c r="E15" s="404"/>
      <c r="F15" s="404"/>
      <c r="G15" s="404"/>
      <c r="H15" s="404"/>
      <c r="I15" s="404"/>
      <c r="J15" s="404"/>
      <c r="K15" s="404"/>
      <c r="L15" s="404"/>
      <c r="M15" s="404"/>
      <c r="N15" s="404"/>
      <c r="O15" s="404"/>
      <c r="P15" s="404"/>
      <c r="Q15" s="404"/>
      <c r="R15" s="404"/>
      <c r="S15" s="404"/>
      <c r="T15" s="404"/>
      <c r="U15" s="404"/>
      <c r="V15" s="404"/>
      <c r="W15" s="404"/>
    </row>
    <row r="16" spans="1:23" x14ac:dyDescent="0.4">
      <c r="A16" s="97" t="s">
        <v>115</v>
      </c>
      <c r="B16" s="97"/>
      <c r="C16" s="97"/>
    </row>
    <row r="17" spans="1:23" ht="20.25" customHeight="1" x14ac:dyDescent="0.4">
      <c r="A17" s="400" t="s">
        <v>229</v>
      </c>
      <c r="B17" s="400"/>
      <c r="C17" s="400"/>
      <c r="D17" s="400"/>
      <c r="E17" s="396" t="str">
        <f>基本情報入力!$B$49&amp;""</f>
        <v/>
      </c>
      <c r="F17" s="397"/>
      <c r="G17" s="397"/>
      <c r="H17" s="397"/>
      <c r="I17" s="397"/>
      <c r="J17" s="397"/>
      <c r="K17" s="397"/>
      <c r="L17" s="397"/>
      <c r="M17" s="397"/>
      <c r="N17" s="397"/>
      <c r="O17" s="397"/>
      <c r="P17" s="397"/>
      <c r="Q17" s="397"/>
      <c r="R17" s="397"/>
      <c r="S17" s="397"/>
      <c r="T17" s="397"/>
      <c r="U17" s="397"/>
      <c r="V17" s="397"/>
      <c r="W17" s="398"/>
    </row>
    <row r="18" spans="1:23" ht="20.25" customHeight="1" x14ac:dyDescent="0.4">
      <c r="A18" s="400" t="s">
        <v>230</v>
      </c>
      <c r="B18" s="400"/>
      <c r="C18" s="400"/>
      <c r="D18" s="400"/>
      <c r="E18" s="396" t="str">
        <f>基本情報入力!$C$49&amp;""</f>
        <v/>
      </c>
      <c r="F18" s="397"/>
      <c r="G18" s="397"/>
      <c r="H18" s="397"/>
      <c r="I18" s="397"/>
      <c r="J18" s="397"/>
      <c r="K18" s="397"/>
      <c r="L18" s="397"/>
      <c r="M18" s="397"/>
      <c r="N18" s="397"/>
      <c r="O18" s="397"/>
      <c r="P18" s="397"/>
      <c r="Q18" s="397"/>
      <c r="R18" s="397"/>
      <c r="S18" s="397"/>
      <c r="T18" s="397"/>
      <c r="U18" s="397"/>
      <c r="V18" s="397"/>
      <c r="W18" s="398"/>
    </row>
    <row r="19" spans="1:23" ht="20.25" customHeight="1" x14ac:dyDescent="0.4">
      <c r="A19" s="400" t="s">
        <v>231</v>
      </c>
      <c r="B19" s="400"/>
      <c r="C19" s="400"/>
      <c r="D19" s="400"/>
      <c r="E19" s="396" t="str">
        <f>基本情報入力!$D$49&amp;""</f>
        <v/>
      </c>
      <c r="F19" s="397"/>
      <c r="G19" s="397"/>
      <c r="H19" s="397"/>
      <c r="I19" s="397"/>
      <c r="J19" s="397"/>
      <c r="K19" s="397"/>
      <c r="L19" s="397"/>
      <c r="M19" s="397"/>
      <c r="N19" s="397"/>
      <c r="O19" s="397"/>
      <c r="P19" s="397"/>
      <c r="Q19" s="397"/>
      <c r="R19" s="397"/>
      <c r="S19" s="397"/>
      <c r="T19" s="397"/>
      <c r="U19" s="397"/>
      <c r="V19" s="397"/>
      <c r="W19" s="398"/>
    </row>
    <row r="20" spans="1:23" ht="20.25" customHeight="1" x14ac:dyDescent="0.4">
      <c r="A20" s="400" t="str">
        <f>IF(E17="ゆうちょ銀行","記号番号","口座番号")</f>
        <v>口座番号</v>
      </c>
      <c r="B20" s="400"/>
      <c r="C20" s="400"/>
      <c r="D20" s="400"/>
      <c r="E20" s="396" t="str">
        <f>基本情報入力!$E$49&amp;""</f>
        <v/>
      </c>
      <c r="F20" s="397"/>
      <c r="G20" s="397"/>
      <c r="H20" s="397"/>
      <c r="I20" s="397"/>
      <c r="J20" s="397"/>
      <c r="K20" s="397"/>
      <c r="L20" s="397"/>
      <c r="M20" s="397"/>
      <c r="N20" s="397"/>
      <c r="O20" s="397"/>
      <c r="P20" s="397"/>
      <c r="Q20" s="397"/>
      <c r="R20" s="397"/>
      <c r="S20" s="397"/>
      <c r="T20" s="397"/>
      <c r="U20" s="397"/>
      <c r="V20" s="397"/>
      <c r="W20" s="398"/>
    </row>
    <row r="21" spans="1:23" ht="13.5" customHeight="1" x14ac:dyDescent="0.4">
      <c r="A21" s="401"/>
      <c r="B21" s="401"/>
      <c r="C21" s="401"/>
      <c r="D21" s="401"/>
    </row>
    <row r="22" spans="1:23" x14ac:dyDescent="0.4">
      <c r="A22" s="402" t="s">
        <v>116</v>
      </c>
      <c r="B22" s="402"/>
      <c r="C22" s="402"/>
      <c r="D22" s="402"/>
    </row>
    <row r="23" spans="1:23" ht="20.25" customHeight="1" x14ac:dyDescent="0.4">
      <c r="A23" s="400" t="s">
        <v>229</v>
      </c>
      <c r="B23" s="400"/>
      <c r="C23" s="400"/>
      <c r="D23" s="400"/>
      <c r="E23" s="396" t="str">
        <f>基本情報入力!$B$50&amp;""</f>
        <v/>
      </c>
      <c r="F23" s="397"/>
      <c r="G23" s="397"/>
      <c r="H23" s="397"/>
      <c r="I23" s="397"/>
      <c r="J23" s="397"/>
      <c r="K23" s="397"/>
      <c r="L23" s="397"/>
      <c r="M23" s="397"/>
      <c r="N23" s="397"/>
      <c r="O23" s="397"/>
      <c r="P23" s="397"/>
      <c r="Q23" s="397"/>
      <c r="R23" s="397"/>
      <c r="S23" s="397"/>
      <c r="T23" s="397"/>
      <c r="U23" s="397"/>
      <c r="V23" s="397"/>
      <c r="W23" s="398"/>
    </row>
    <row r="24" spans="1:23" ht="20.25" customHeight="1" x14ac:dyDescent="0.4">
      <c r="A24" s="400" t="s">
        <v>230</v>
      </c>
      <c r="B24" s="400"/>
      <c r="C24" s="400"/>
      <c r="D24" s="400"/>
      <c r="E24" s="396" t="str">
        <f>基本情報入力!$C$50&amp;""</f>
        <v/>
      </c>
      <c r="F24" s="397"/>
      <c r="G24" s="397"/>
      <c r="H24" s="397"/>
      <c r="I24" s="397"/>
      <c r="J24" s="397"/>
      <c r="K24" s="397"/>
      <c r="L24" s="397"/>
      <c r="M24" s="397"/>
      <c r="N24" s="397"/>
      <c r="O24" s="397"/>
      <c r="P24" s="397"/>
      <c r="Q24" s="397"/>
      <c r="R24" s="397"/>
      <c r="S24" s="397"/>
      <c r="T24" s="397"/>
      <c r="U24" s="397"/>
      <c r="V24" s="397"/>
      <c r="W24" s="398"/>
    </row>
    <row r="25" spans="1:23" ht="20.25" customHeight="1" x14ac:dyDescent="0.4">
      <c r="A25" s="400" t="s">
        <v>231</v>
      </c>
      <c r="B25" s="400"/>
      <c r="C25" s="400"/>
      <c r="D25" s="400"/>
      <c r="E25" s="396" t="str">
        <f>基本情報入力!$D$50&amp;""</f>
        <v/>
      </c>
      <c r="F25" s="397"/>
      <c r="G25" s="397"/>
      <c r="H25" s="397"/>
      <c r="I25" s="397"/>
      <c r="J25" s="397"/>
      <c r="K25" s="397"/>
      <c r="L25" s="397"/>
      <c r="M25" s="397"/>
      <c r="N25" s="397"/>
      <c r="O25" s="397"/>
      <c r="P25" s="397"/>
      <c r="Q25" s="397"/>
      <c r="R25" s="397"/>
      <c r="S25" s="397"/>
      <c r="T25" s="397"/>
      <c r="U25" s="397"/>
      <c r="V25" s="397"/>
      <c r="W25" s="398"/>
    </row>
    <row r="26" spans="1:23" ht="20.25" customHeight="1" x14ac:dyDescent="0.4">
      <c r="A26" s="400" t="str">
        <f>IF(E23="ゆうちょ銀行","記号番号","口座番号")</f>
        <v>口座番号</v>
      </c>
      <c r="B26" s="400"/>
      <c r="C26" s="400"/>
      <c r="D26" s="400"/>
      <c r="E26" s="396" t="str">
        <f>基本情報入力!$E$50&amp;""</f>
        <v/>
      </c>
      <c r="F26" s="397"/>
      <c r="G26" s="397"/>
      <c r="H26" s="397"/>
      <c r="I26" s="397"/>
      <c r="J26" s="397"/>
      <c r="K26" s="397"/>
      <c r="L26" s="397"/>
      <c r="M26" s="397"/>
      <c r="N26" s="397"/>
      <c r="O26" s="397"/>
      <c r="P26" s="397"/>
      <c r="Q26" s="397"/>
      <c r="R26" s="397"/>
      <c r="S26" s="397"/>
      <c r="T26" s="397"/>
      <c r="U26" s="397"/>
      <c r="V26" s="397"/>
      <c r="W26" s="398"/>
    </row>
    <row r="27" spans="1:23" ht="13.5" customHeight="1" x14ac:dyDescent="0.4">
      <c r="A27" s="401"/>
      <c r="B27" s="401"/>
      <c r="C27" s="401"/>
      <c r="D27" s="401"/>
    </row>
    <row r="28" spans="1:23" x14ac:dyDescent="0.4">
      <c r="A28" s="402" t="s">
        <v>119</v>
      </c>
      <c r="B28" s="402"/>
      <c r="C28" s="402"/>
      <c r="D28" s="402"/>
    </row>
    <row r="29" spans="1:23" ht="20.25" customHeight="1" x14ac:dyDescent="0.4">
      <c r="A29" s="400" t="s">
        <v>229</v>
      </c>
      <c r="B29" s="400"/>
      <c r="C29" s="400"/>
      <c r="D29" s="400"/>
      <c r="E29" s="396" t="str">
        <f>基本情報入力!$B$51&amp;""</f>
        <v/>
      </c>
      <c r="F29" s="397"/>
      <c r="G29" s="397"/>
      <c r="H29" s="397"/>
      <c r="I29" s="397"/>
      <c r="J29" s="397"/>
      <c r="K29" s="397"/>
      <c r="L29" s="397"/>
      <c r="M29" s="397"/>
      <c r="N29" s="397"/>
      <c r="O29" s="397"/>
      <c r="P29" s="397"/>
      <c r="Q29" s="397"/>
      <c r="R29" s="397"/>
      <c r="S29" s="397"/>
      <c r="T29" s="397"/>
      <c r="U29" s="397"/>
      <c r="V29" s="397"/>
      <c r="W29" s="398"/>
    </row>
    <row r="30" spans="1:23" ht="20.25" customHeight="1" x14ac:dyDescent="0.4">
      <c r="A30" s="400" t="s">
        <v>230</v>
      </c>
      <c r="B30" s="400"/>
      <c r="C30" s="400"/>
      <c r="D30" s="400"/>
      <c r="E30" s="396" t="str">
        <f>基本情報入力!$C$51&amp;""</f>
        <v/>
      </c>
      <c r="F30" s="397"/>
      <c r="G30" s="397"/>
      <c r="H30" s="397"/>
      <c r="I30" s="397"/>
      <c r="J30" s="397"/>
      <c r="K30" s="397"/>
      <c r="L30" s="397"/>
      <c r="M30" s="397"/>
      <c r="N30" s="397"/>
      <c r="O30" s="397"/>
      <c r="P30" s="397"/>
      <c r="Q30" s="397"/>
      <c r="R30" s="397"/>
      <c r="S30" s="397"/>
      <c r="T30" s="397"/>
      <c r="U30" s="397"/>
      <c r="V30" s="397"/>
      <c r="W30" s="398"/>
    </row>
    <row r="31" spans="1:23" ht="20.25" customHeight="1" x14ac:dyDescent="0.4">
      <c r="A31" s="400" t="s">
        <v>231</v>
      </c>
      <c r="B31" s="400"/>
      <c r="C31" s="400"/>
      <c r="D31" s="400"/>
      <c r="E31" s="396" t="str">
        <f>基本情報入力!$D$51&amp;""</f>
        <v/>
      </c>
      <c r="F31" s="397"/>
      <c r="G31" s="397"/>
      <c r="H31" s="397"/>
      <c r="I31" s="397"/>
      <c r="J31" s="397"/>
      <c r="K31" s="397"/>
      <c r="L31" s="397"/>
      <c r="M31" s="397"/>
      <c r="N31" s="397"/>
      <c r="O31" s="397"/>
      <c r="P31" s="397"/>
      <c r="Q31" s="397"/>
      <c r="R31" s="397"/>
      <c r="S31" s="397"/>
      <c r="T31" s="397"/>
      <c r="U31" s="397"/>
      <c r="V31" s="397"/>
      <c r="W31" s="398"/>
    </row>
    <row r="32" spans="1:23" ht="20.25" customHeight="1" x14ac:dyDescent="0.4">
      <c r="A32" s="400" t="str">
        <f>IF(E29="ゆうちょ銀行","記号番号","口座番号")</f>
        <v>口座番号</v>
      </c>
      <c r="B32" s="400"/>
      <c r="C32" s="400"/>
      <c r="D32" s="400"/>
      <c r="E32" s="396" t="str">
        <f>基本情報入力!$E$51&amp;""</f>
        <v/>
      </c>
      <c r="F32" s="397"/>
      <c r="G32" s="397"/>
      <c r="H32" s="397"/>
      <c r="I32" s="397"/>
      <c r="J32" s="397"/>
      <c r="K32" s="397"/>
      <c r="L32" s="397"/>
      <c r="M32" s="397"/>
      <c r="N32" s="397"/>
      <c r="O32" s="397"/>
      <c r="P32" s="397"/>
      <c r="Q32" s="397"/>
      <c r="R32" s="397"/>
      <c r="S32" s="397"/>
      <c r="T32" s="397"/>
      <c r="U32" s="397"/>
      <c r="V32" s="397"/>
      <c r="W32" s="398"/>
    </row>
    <row r="33" spans="1:23" ht="13.5" customHeight="1" x14ac:dyDescent="0.4">
      <c r="A33" s="401"/>
      <c r="B33" s="401"/>
      <c r="C33" s="401"/>
      <c r="D33" s="401"/>
    </row>
    <row r="34" spans="1:23" x14ac:dyDescent="0.4">
      <c r="A34" s="402" t="s">
        <v>120</v>
      </c>
      <c r="B34" s="402"/>
      <c r="C34" s="402"/>
      <c r="D34" s="402"/>
    </row>
    <row r="35" spans="1:23" ht="20.25" customHeight="1" x14ac:dyDescent="0.4">
      <c r="A35" s="400" t="s">
        <v>229</v>
      </c>
      <c r="B35" s="400"/>
      <c r="C35" s="400"/>
      <c r="D35" s="400"/>
      <c r="E35" s="396" t="str">
        <f>基本情報入力!$B$52&amp;""</f>
        <v/>
      </c>
      <c r="F35" s="397"/>
      <c r="G35" s="397"/>
      <c r="H35" s="397"/>
      <c r="I35" s="397"/>
      <c r="J35" s="397"/>
      <c r="K35" s="397"/>
      <c r="L35" s="397"/>
      <c r="M35" s="397"/>
      <c r="N35" s="397"/>
      <c r="O35" s="397"/>
      <c r="P35" s="397"/>
      <c r="Q35" s="397"/>
      <c r="R35" s="397"/>
      <c r="S35" s="397"/>
      <c r="T35" s="397"/>
      <c r="U35" s="397"/>
      <c r="V35" s="397"/>
      <c r="W35" s="398"/>
    </row>
    <row r="36" spans="1:23" ht="20.25" customHeight="1" x14ac:dyDescent="0.4">
      <c r="A36" s="400" t="s">
        <v>230</v>
      </c>
      <c r="B36" s="400"/>
      <c r="C36" s="400"/>
      <c r="D36" s="400"/>
      <c r="E36" s="396" t="str">
        <f>基本情報入力!$C$52&amp;""</f>
        <v/>
      </c>
      <c r="F36" s="397"/>
      <c r="G36" s="397"/>
      <c r="H36" s="397"/>
      <c r="I36" s="397"/>
      <c r="J36" s="397"/>
      <c r="K36" s="397"/>
      <c r="L36" s="397"/>
      <c r="M36" s="397"/>
      <c r="N36" s="397"/>
      <c r="O36" s="397"/>
      <c r="P36" s="397"/>
      <c r="Q36" s="397"/>
      <c r="R36" s="397"/>
      <c r="S36" s="397"/>
      <c r="T36" s="397"/>
      <c r="U36" s="397"/>
      <c r="V36" s="397"/>
      <c r="W36" s="398"/>
    </row>
    <row r="37" spans="1:23" ht="20.25" customHeight="1" x14ac:dyDescent="0.4">
      <c r="A37" s="400" t="s">
        <v>231</v>
      </c>
      <c r="B37" s="400"/>
      <c r="C37" s="400"/>
      <c r="D37" s="400"/>
      <c r="E37" s="396" t="str">
        <f>基本情報入力!$D$52&amp;""</f>
        <v/>
      </c>
      <c r="F37" s="397"/>
      <c r="G37" s="397"/>
      <c r="H37" s="397"/>
      <c r="I37" s="397"/>
      <c r="J37" s="397"/>
      <c r="K37" s="397"/>
      <c r="L37" s="397"/>
      <c r="M37" s="397"/>
      <c r="N37" s="397"/>
      <c r="O37" s="397"/>
      <c r="P37" s="397"/>
      <c r="Q37" s="397"/>
      <c r="R37" s="397"/>
      <c r="S37" s="397"/>
      <c r="T37" s="397"/>
      <c r="U37" s="397"/>
      <c r="V37" s="397"/>
      <c r="W37" s="398"/>
    </row>
    <row r="38" spans="1:23" ht="20.25" customHeight="1" x14ac:dyDescent="0.4">
      <c r="A38" s="400" t="str">
        <f>IF(E35="ゆうちょ銀行","記号番号","口座番号")</f>
        <v>口座番号</v>
      </c>
      <c r="B38" s="400"/>
      <c r="C38" s="400"/>
      <c r="D38" s="400"/>
      <c r="E38" s="396" t="str">
        <f>基本情報入力!$E$52&amp;""</f>
        <v/>
      </c>
      <c r="F38" s="397"/>
      <c r="G38" s="397"/>
      <c r="H38" s="397"/>
      <c r="I38" s="397"/>
      <c r="J38" s="397"/>
      <c r="K38" s="397"/>
      <c r="L38" s="397"/>
      <c r="M38" s="397"/>
      <c r="N38" s="397"/>
      <c r="O38" s="397"/>
      <c r="P38" s="397"/>
      <c r="Q38" s="397"/>
      <c r="R38" s="397"/>
      <c r="S38" s="397"/>
      <c r="T38" s="397"/>
      <c r="U38" s="397"/>
      <c r="V38" s="397"/>
      <c r="W38" s="398"/>
    </row>
    <row r="39" spans="1:23" ht="13.5" customHeight="1" x14ac:dyDescent="0.4">
      <c r="A39" s="401"/>
      <c r="B39" s="401"/>
      <c r="C39" s="401"/>
      <c r="D39" s="401"/>
    </row>
    <row r="40" spans="1:23" x14ac:dyDescent="0.4">
      <c r="A40" s="402" t="s">
        <v>122</v>
      </c>
      <c r="B40" s="402"/>
      <c r="C40" s="402"/>
      <c r="D40" s="402"/>
    </row>
    <row r="41" spans="1:23" ht="20.25" customHeight="1" x14ac:dyDescent="0.4">
      <c r="A41" s="400" t="s">
        <v>229</v>
      </c>
      <c r="B41" s="400"/>
      <c r="C41" s="400"/>
      <c r="D41" s="400"/>
      <c r="E41" s="396" t="str">
        <f>基本情報入力!$B$53&amp;""</f>
        <v/>
      </c>
      <c r="F41" s="397"/>
      <c r="G41" s="397"/>
      <c r="H41" s="397"/>
      <c r="I41" s="397"/>
      <c r="J41" s="397"/>
      <c r="K41" s="397"/>
      <c r="L41" s="397"/>
      <c r="M41" s="397"/>
      <c r="N41" s="397"/>
      <c r="O41" s="397"/>
      <c r="P41" s="397"/>
      <c r="Q41" s="397"/>
      <c r="R41" s="397"/>
      <c r="S41" s="397"/>
      <c r="T41" s="397"/>
      <c r="U41" s="397"/>
      <c r="V41" s="397"/>
      <c r="W41" s="398"/>
    </row>
    <row r="42" spans="1:23" ht="20.25" customHeight="1" x14ac:dyDescent="0.4">
      <c r="A42" s="400" t="s">
        <v>230</v>
      </c>
      <c r="B42" s="400"/>
      <c r="C42" s="400"/>
      <c r="D42" s="400"/>
      <c r="E42" s="396" t="str">
        <f>基本情報入力!$C$53&amp;""</f>
        <v/>
      </c>
      <c r="F42" s="397"/>
      <c r="G42" s="397"/>
      <c r="H42" s="397"/>
      <c r="I42" s="397"/>
      <c r="J42" s="397"/>
      <c r="K42" s="397"/>
      <c r="L42" s="397"/>
      <c r="M42" s="397"/>
      <c r="N42" s="397"/>
      <c r="O42" s="397"/>
      <c r="P42" s="397"/>
      <c r="Q42" s="397"/>
      <c r="R42" s="397"/>
      <c r="S42" s="397"/>
      <c r="T42" s="397"/>
      <c r="U42" s="397"/>
      <c r="V42" s="397"/>
      <c r="W42" s="398"/>
    </row>
    <row r="43" spans="1:23" ht="20.25" customHeight="1" x14ac:dyDescent="0.4">
      <c r="A43" s="400" t="s">
        <v>231</v>
      </c>
      <c r="B43" s="400"/>
      <c r="C43" s="400"/>
      <c r="D43" s="400"/>
      <c r="E43" s="396" t="str">
        <f>基本情報入力!$D$53&amp;""</f>
        <v/>
      </c>
      <c r="F43" s="397"/>
      <c r="G43" s="397"/>
      <c r="H43" s="397"/>
      <c r="I43" s="397"/>
      <c r="J43" s="397"/>
      <c r="K43" s="397"/>
      <c r="L43" s="397"/>
      <c r="M43" s="397"/>
      <c r="N43" s="397"/>
      <c r="O43" s="397"/>
      <c r="P43" s="397"/>
      <c r="Q43" s="397"/>
      <c r="R43" s="397"/>
      <c r="S43" s="397"/>
      <c r="T43" s="397"/>
      <c r="U43" s="397"/>
      <c r="V43" s="397"/>
      <c r="W43" s="398"/>
    </row>
    <row r="44" spans="1:23" ht="20.25" customHeight="1" x14ac:dyDescent="0.4">
      <c r="A44" s="400" t="str">
        <f>IF(E41="ゆうちょ銀行","記号番号","口座番号")</f>
        <v>口座番号</v>
      </c>
      <c r="B44" s="400"/>
      <c r="C44" s="400"/>
      <c r="D44" s="400"/>
      <c r="E44" s="396" t="str">
        <f>基本情報入力!$E$53&amp;""</f>
        <v/>
      </c>
      <c r="F44" s="397"/>
      <c r="G44" s="397"/>
      <c r="H44" s="397"/>
      <c r="I44" s="397"/>
      <c r="J44" s="397"/>
      <c r="K44" s="397"/>
      <c r="L44" s="397"/>
      <c r="M44" s="397"/>
      <c r="N44" s="397"/>
      <c r="O44" s="397"/>
      <c r="P44" s="397"/>
      <c r="Q44" s="397"/>
      <c r="R44" s="397"/>
      <c r="S44" s="397"/>
      <c r="T44" s="397"/>
      <c r="U44" s="397"/>
      <c r="V44" s="397"/>
      <c r="W44" s="398"/>
    </row>
    <row r="45" spans="1:23" x14ac:dyDescent="0.4">
      <c r="A45" s="402" t="s">
        <v>125</v>
      </c>
      <c r="B45" s="402"/>
      <c r="C45" s="402"/>
      <c r="D45" s="402"/>
    </row>
    <row r="46" spans="1:23" ht="20.25" customHeight="1" x14ac:dyDescent="0.4">
      <c r="A46" s="400" t="s">
        <v>229</v>
      </c>
      <c r="B46" s="400"/>
      <c r="C46" s="400"/>
      <c r="D46" s="400"/>
      <c r="E46" s="396" t="str">
        <f>基本情報入力!$B$54&amp;""</f>
        <v/>
      </c>
      <c r="F46" s="397"/>
      <c r="G46" s="397"/>
      <c r="H46" s="397"/>
      <c r="I46" s="397"/>
      <c r="J46" s="397"/>
      <c r="K46" s="397"/>
      <c r="L46" s="397"/>
      <c r="M46" s="397"/>
      <c r="N46" s="397"/>
      <c r="O46" s="397"/>
      <c r="P46" s="397"/>
      <c r="Q46" s="397"/>
      <c r="R46" s="397"/>
      <c r="S46" s="397"/>
      <c r="T46" s="397"/>
      <c r="U46" s="397"/>
      <c r="V46" s="397"/>
      <c r="W46" s="398"/>
    </row>
    <row r="47" spans="1:23" ht="20.25" customHeight="1" x14ac:dyDescent="0.4">
      <c r="A47" s="400" t="s">
        <v>230</v>
      </c>
      <c r="B47" s="400"/>
      <c r="C47" s="400"/>
      <c r="D47" s="400"/>
      <c r="E47" s="396" t="str">
        <f>基本情報入力!$C$54&amp;""</f>
        <v/>
      </c>
      <c r="F47" s="397"/>
      <c r="G47" s="397"/>
      <c r="H47" s="397"/>
      <c r="I47" s="397"/>
      <c r="J47" s="397"/>
      <c r="K47" s="397"/>
      <c r="L47" s="397"/>
      <c r="M47" s="397"/>
      <c r="N47" s="397"/>
      <c r="O47" s="397"/>
      <c r="P47" s="397"/>
      <c r="Q47" s="397"/>
      <c r="R47" s="397"/>
      <c r="S47" s="397"/>
      <c r="T47" s="397"/>
      <c r="U47" s="397"/>
      <c r="V47" s="397"/>
      <c r="W47" s="398"/>
    </row>
    <row r="48" spans="1:23" ht="20.25" customHeight="1" x14ac:dyDescent="0.4">
      <c r="A48" s="400" t="s">
        <v>231</v>
      </c>
      <c r="B48" s="400"/>
      <c r="C48" s="400"/>
      <c r="D48" s="400"/>
      <c r="E48" s="396" t="str">
        <f>基本情報入力!$D$54&amp;""</f>
        <v/>
      </c>
      <c r="F48" s="397"/>
      <c r="G48" s="397"/>
      <c r="H48" s="397"/>
      <c r="I48" s="397"/>
      <c r="J48" s="397"/>
      <c r="K48" s="397"/>
      <c r="L48" s="397"/>
      <c r="M48" s="397"/>
      <c r="N48" s="397"/>
      <c r="O48" s="397"/>
      <c r="P48" s="397"/>
      <c r="Q48" s="397"/>
      <c r="R48" s="397"/>
      <c r="S48" s="397"/>
      <c r="T48" s="397"/>
      <c r="U48" s="397"/>
      <c r="V48" s="397"/>
      <c r="W48" s="398"/>
    </row>
    <row r="49" spans="1:23" ht="20.25" customHeight="1" x14ac:dyDescent="0.4">
      <c r="A49" s="400" t="str">
        <f>IF(E46="ゆうちょ銀行","記号番号","口座番号")</f>
        <v>口座番号</v>
      </c>
      <c r="B49" s="400"/>
      <c r="C49" s="400"/>
      <c r="D49" s="400"/>
      <c r="E49" s="396" t="str">
        <f>基本情報入力!$E$54&amp;""</f>
        <v/>
      </c>
      <c r="F49" s="397"/>
      <c r="G49" s="397"/>
      <c r="H49" s="397"/>
      <c r="I49" s="397"/>
      <c r="J49" s="397"/>
      <c r="K49" s="397"/>
      <c r="L49" s="397"/>
      <c r="M49" s="397"/>
      <c r="N49" s="397"/>
      <c r="O49" s="397"/>
      <c r="P49" s="397"/>
      <c r="Q49" s="397"/>
      <c r="R49" s="397"/>
      <c r="S49" s="397"/>
      <c r="T49" s="397"/>
      <c r="U49" s="397"/>
      <c r="V49" s="397"/>
      <c r="W49" s="398"/>
    </row>
    <row r="50" spans="1:23" ht="13.5" customHeight="1" x14ac:dyDescent="0.4">
      <c r="A50" s="401"/>
      <c r="B50" s="401"/>
      <c r="C50" s="401"/>
      <c r="D50" s="401"/>
    </row>
    <row r="51" spans="1:23" x14ac:dyDescent="0.4">
      <c r="A51" s="402" t="s">
        <v>126</v>
      </c>
      <c r="B51" s="402"/>
      <c r="C51" s="402"/>
      <c r="D51" s="402"/>
    </row>
    <row r="52" spans="1:23" x14ac:dyDescent="0.4">
      <c r="A52" s="400" t="s">
        <v>229</v>
      </c>
      <c r="B52" s="400"/>
      <c r="C52" s="400"/>
      <c r="D52" s="400"/>
      <c r="E52" s="396" t="str">
        <f>基本情報入力!$B$55&amp;""</f>
        <v/>
      </c>
      <c r="F52" s="397"/>
      <c r="G52" s="397"/>
      <c r="H52" s="397"/>
      <c r="I52" s="397"/>
      <c r="J52" s="397"/>
      <c r="K52" s="397"/>
      <c r="L52" s="397"/>
      <c r="M52" s="397"/>
      <c r="N52" s="397"/>
      <c r="O52" s="397"/>
      <c r="P52" s="397"/>
      <c r="Q52" s="397"/>
      <c r="R52" s="397"/>
      <c r="S52" s="397"/>
      <c r="T52" s="397"/>
      <c r="U52" s="397"/>
      <c r="V52" s="397"/>
      <c r="W52" s="398"/>
    </row>
    <row r="53" spans="1:23" x14ac:dyDescent="0.4">
      <c r="A53" s="400" t="s">
        <v>230</v>
      </c>
      <c r="B53" s="400"/>
      <c r="C53" s="400"/>
      <c r="D53" s="400"/>
      <c r="E53" s="396" t="str">
        <f>基本情報入力!$C$55&amp;""</f>
        <v/>
      </c>
      <c r="F53" s="397"/>
      <c r="G53" s="397"/>
      <c r="H53" s="397"/>
      <c r="I53" s="397"/>
      <c r="J53" s="397"/>
      <c r="K53" s="397"/>
      <c r="L53" s="397"/>
      <c r="M53" s="397"/>
      <c r="N53" s="397"/>
      <c r="O53" s="397"/>
      <c r="P53" s="397"/>
      <c r="Q53" s="397"/>
      <c r="R53" s="397"/>
      <c r="S53" s="397"/>
      <c r="T53" s="397"/>
      <c r="U53" s="397"/>
      <c r="V53" s="397"/>
      <c r="W53" s="398"/>
    </row>
    <row r="54" spans="1:23" x14ac:dyDescent="0.4">
      <c r="A54" s="400" t="s">
        <v>231</v>
      </c>
      <c r="B54" s="400"/>
      <c r="C54" s="400"/>
      <c r="D54" s="400"/>
      <c r="E54" s="396" t="str">
        <f>基本情報入力!$D$55&amp;""</f>
        <v/>
      </c>
      <c r="F54" s="397"/>
      <c r="G54" s="397"/>
      <c r="H54" s="397"/>
      <c r="I54" s="397"/>
      <c r="J54" s="397"/>
      <c r="K54" s="397"/>
      <c r="L54" s="397"/>
      <c r="M54" s="397"/>
      <c r="N54" s="397"/>
      <c r="O54" s="397"/>
      <c r="P54" s="397"/>
      <c r="Q54" s="397"/>
      <c r="R54" s="397"/>
      <c r="S54" s="397"/>
      <c r="T54" s="397"/>
      <c r="U54" s="397"/>
      <c r="V54" s="397"/>
      <c r="W54" s="398"/>
    </row>
    <row r="55" spans="1:23" ht="18.75" customHeight="1" x14ac:dyDescent="0.4">
      <c r="A55" s="400" t="str">
        <f>IF(E52="ゆうちょ銀行","記号番号","口座番号")</f>
        <v>口座番号</v>
      </c>
      <c r="B55" s="400"/>
      <c r="C55" s="400"/>
      <c r="D55" s="400"/>
      <c r="E55" s="396" t="str">
        <f>基本情報入力!$E$55&amp;""</f>
        <v/>
      </c>
      <c r="F55" s="397"/>
      <c r="G55" s="397"/>
      <c r="H55" s="397"/>
      <c r="I55" s="397"/>
      <c r="J55" s="397"/>
      <c r="K55" s="397"/>
      <c r="L55" s="397"/>
      <c r="M55" s="397"/>
      <c r="N55" s="397"/>
      <c r="O55" s="397"/>
      <c r="P55" s="397"/>
      <c r="Q55" s="397"/>
      <c r="R55" s="397"/>
      <c r="S55" s="397"/>
      <c r="T55" s="397"/>
      <c r="U55" s="397"/>
      <c r="V55" s="397"/>
      <c r="W55" s="398"/>
    </row>
    <row r="56" spans="1:23" ht="13.5" customHeight="1" x14ac:dyDescent="0.4">
      <c r="A56" s="401"/>
      <c r="B56" s="401"/>
      <c r="C56" s="401"/>
      <c r="D56" s="401"/>
    </row>
    <row r="57" spans="1:23" x14ac:dyDescent="0.4">
      <c r="A57" s="402" t="s">
        <v>127</v>
      </c>
      <c r="B57" s="402"/>
      <c r="C57" s="402"/>
      <c r="D57" s="402"/>
    </row>
    <row r="58" spans="1:23" x14ac:dyDescent="0.4">
      <c r="A58" s="400" t="s">
        <v>229</v>
      </c>
      <c r="B58" s="400"/>
      <c r="C58" s="400"/>
      <c r="D58" s="400"/>
      <c r="E58" s="396" t="str">
        <f>基本情報入力!$B$56&amp;""</f>
        <v/>
      </c>
      <c r="F58" s="397"/>
      <c r="G58" s="397"/>
      <c r="H58" s="397"/>
      <c r="I58" s="397"/>
      <c r="J58" s="397"/>
      <c r="K58" s="397"/>
      <c r="L58" s="397"/>
      <c r="M58" s="397"/>
      <c r="N58" s="397"/>
      <c r="O58" s="397"/>
      <c r="P58" s="397"/>
      <c r="Q58" s="397"/>
      <c r="R58" s="397"/>
      <c r="S58" s="397"/>
      <c r="T58" s="397"/>
      <c r="U58" s="397"/>
      <c r="V58" s="397"/>
      <c r="W58" s="398"/>
    </row>
    <row r="59" spans="1:23" x14ac:dyDescent="0.4">
      <c r="A59" s="400" t="s">
        <v>230</v>
      </c>
      <c r="B59" s="400"/>
      <c r="C59" s="400"/>
      <c r="D59" s="400"/>
      <c r="E59" s="396" t="str">
        <f>基本情報入力!$C$56&amp;""</f>
        <v/>
      </c>
      <c r="F59" s="397"/>
      <c r="G59" s="397"/>
      <c r="H59" s="397"/>
      <c r="I59" s="397"/>
      <c r="J59" s="397"/>
      <c r="K59" s="397"/>
      <c r="L59" s="397"/>
      <c r="M59" s="397"/>
      <c r="N59" s="397"/>
      <c r="O59" s="397"/>
      <c r="P59" s="397"/>
      <c r="Q59" s="397"/>
      <c r="R59" s="397"/>
      <c r="S59" s="397"/>
      <c r="T59" s="397"/>
      <c r="U59" s="397"/>
      <c r="V59" s="397"/>
      <c r="W59" s="398"/>
    </row>
    <row r="60" spans="1:23" x14ac:dyDescent="0.4">
      <c r="A60" s="400" t="s">
        <v>231</v>
      </c>
      <c r="B60" s="400"/>
      <c r="C60" s="400"/>
      <c r="D60" s="400"/>
      <c r="E60" s="396" t="str">
        <f>基本情報入力!$D$56&amp;""</f>
        <v/>
      </c>
      <c r="F60" s="397"/>
      <c r="G60" s="397"/>
      <c r="H60" s="397"/>
      <c r="I60" s="397"/>
      <c r="J60" s="397"/>
      <c r="K60" s="397"/>
      <c r="L60" s="397"/>
      <c r="M60" s="397"/>
      <c r="N60" s="397"/>
      <c r="O60" s="397"/>
      <c r="P60" s="397"/>
      <c r="Q60" s="397"/>
      <c r="R60" s="397"/>
      <c r="S60" s="397"/>
      <c r="T60" s="397"/>
      <c r="U60" s="397"/>
      <c r="V60" s="397"/>
      <c r="W60" s="398"/>
    </row>
    <row r="61" spans="1:23" ht="18.75" customHeight="1" x14ac:dyDescent="0.4">
      <c r="A61" s="400" t="str">
        <f>IF(E58="ゆうちょ銀行","記号番号","口座番号")</f>
        <v>口座番号</v>
      </c>
      <c r="B61" s="400"/>
      <c r="C61" s="400"/>
      <c r="D61" s="400"/>
      <c r="E61" s="396" t="str">
        <f>基本情報入力!$E$56&amp;""</f>
        <v/>
      </c>
      <c r="F61" s="397"/>
      <c r="G61" s="397"/>
      <c r="H61" s="397"/>
      <c r="I61" s="397"/>
      <c r="J61" s="397"/>
      <c r="K61" s="397"/>
      <c r="L61" s="397"/>
      <c r="M61" s="397"/>
      <c r="N61" s="397"/>
      <c r="O61" s="397"/>
      <c r="P61" s="397"/>
      <c r="Q61" s="397"/>
      <c r="R61" s="397"/>
      <c r="S61" s="397"/>
      <c r="T61" s="397"/>
      <c r="U61" s="397"/>
      <c r="V61" s="397"/>
      <c r="W61" s="398"/>
    </row>
    <row r="62" spans="1:23" ht="13.5" customHeight="1" x14ac:dyDescent="0.4">
      <c r="A62" s="401"/>
      <c r="B62" s="401"/>
      <c r="C62" s="401"/>
      <c r="D62" s="401"/>
    </row>
    <row r="63" spans="1:23" x14ac:dyDescent="0.4">
      <c r="A63" s="402" t="s">
        <v>131</v>
      </c>
      <c r="B63" s="402"/>
      <c r="C63" s="402"/>
      <c r="D63" s="402"/>
    </row>
    <row r="64" spans="1:23" x14ac:dyDescent="0.4">
      <c r="A64" s="400" t="s">
        <v>229</v>
      </c>
      <c r="B64" s="400"/>
      <c r="C64" s="400"/>
      <c r="D64" s="400"/>
      <c r="E64" s="396" t="str">
        <f>基本情報入力!$B$57&amp;""</f>
        <v/>
      </c>
      <c r="F64" s="397"/>
      <c r="G64" s="397"/>
      <c r="H64" s="397"/>
      <c r="I64" s="397"/>
      <c r="J64" s="397"/>
      <c r="K64" s="397"/>
      <c r="L64" s="397"/>
      <c r="M64" s="397"/>
      <c r="N64" s="397"/>
      <c r="O64" s="397"/>
      <c r="P64" s="397"/>
      <c r="Q64" s="397"/>
      <c r="R64" s="397"/>
      <c r="S64" s="397"/>
      <c r="T64" s="397"/>
      <c r="U64" s="397"/>
      <c r="V64" s="397"/>
      <c r="W64" s="398"/>
    </row>
    <row r="65" spans="1:23" x14ac:dyDescent="0.4">
      <c r="A65" s="400" t="s">
        <v>230</v>
      </c>
      <c r="B65" s="400"/>
      <c r="C65" s="400"/>
      <c r="D65" s="400"/>
      <c r="E65" s="396" t="str">
        <f>基本情報入力!$C$57&amp;""</f>
        <v/>
      </c>
      <c r="F65" s="397"/>
      <c r="G65" s="397"/>
      <c r="H65" s="397"/>
      <c r="I65" s="397"/>
      <c r="J65" s="397"/>
      <c r="K65" s="397"/>
      <c r="L65" s="397"/>
      <c r="M65" s="397"/>
      <c r="N65" s="397"/>
      <c r="O65" s="397"/>
      <c r="P65" s="397"/>
      <c r="Q65" s="397"/>
      <c r="R65" s="397"/>
      <c r="S65" s="397"/>
      <c r="T65" s="397"/>
      <c r="U65" s="397"/>
      <c r="V65" s="397"/>
      <c r="W65" s="398"/>
    </row>
    <row r="66" spans="1:23" x14ac:dyDescent="0.4">
      <c r="A66" s="400" t="s">
        <v>231</v>
      </c>
      <c r="B66" s="400"/>
      <c r="C66" s="400"/>
      <c r="D66" s="400"/>
      <c r="E66" s="396" t="str">
        <f>基本情報入力!$D$57&amp;""</f>
        <v/>
      </c>
      <c r="F66" s="397"/>
      <c r="G66" s="397"/>
      <c r="H66" s="397"/>
      <c r="I66" s="397"/>
      <c r="J66" s="397"/>
      <c r="K66" s="397"/>
      <c r="L66" s="397"/>
      <c r="M66" s="397"/>
      <c r="N66" s="397"/>
      <c r="O66" s="397"/>
      <c r="P66" s="397"/>
      <c r="Q66" s="397"/>
      <c r="R66" s="397"/>
      <c r="S66" s="397"/>
      <c r="T66" s="397"/>
      <c r="U66" s="397"/>
      <c r="V66" s="397"/>
      <c r="W66" s="398"/>
    </row>
    <row r="67" spans="1:23" ht="18.75" customHeight="1" x14ac:dyDescent="0.4">
      <c r="A67" s="400" t="str">
        <f>IF(E64="ゆうちょ銀行","記号番号","口座番号")</f>
        <v>口座番号</v>
      </c>
      <c r="B67" s="400"/>
      <c r="C67" s="400"/>
      <c r="D67" s="400"/>
      <c r="E67" s="396" t="str">
        <f>基本情報入力!$E$57&amp;""</f>
        <v/>
      </c>
      <c r="F67" s="397"/>
      <c r="G67" s="397"/>
      <c r="H67" s="397"/>
      <c r="I67" s="397"/>
      <c r="J67" s="397"/>
      <c r="K67" s="397"/>
      <c r="L67" s="397"/>
      <c r="M67" s="397"/>
      <c r="N67" s="397"/>
      <c r="O67" s="397"/>
      <c r="P67" s="397"/>
      <c r="Q67" s="397"/>
      <c r="R67" s="397"/>
      <c r="S67" s="397"/>
      <c r="T67" s="397"/>
      <c r="U67" s="397"/>
      <c r="V67" s="397"/>
      <c r="W67" s="398"/>
    </row>
    <row r="68" spans="1:23" ht="13.5" customHeight="1" x14ac:dyDescent="0.4">
      <c r="A68" s="401"/>
      <c r="B68" s="401"/>
      <c r="C68" s="401"/>
      <c r="D68" s="401"/>
    </row>
    <row r="69" spans="1:23" x14ac:dyDescent="0.4">
      <c r="A69" s="402" t="s">
        <v>134</v>
      </c>
      <c r="B69" s="402"/>
      <c r="C69" s="402"/>
      <c r="D69" s="402"/>
    </row>
    <row r="70" spans="1:23" x14ac:dyDescent="0.4">
      <c r="A70" s="400" t="s">
        <v>229</v>
      </c>
      <c r="B70" s="400"/>
      <c r="C70" s="400"/>
      <c r="D70" s="400"/>
      <c r="E70" s="396" t="str">
        <f>基本情報入力!$B$58&amp;""</f>
        <v/>
      </c>
      <c r="F70" s="397"/>
      <c r="G70" s="397"/>
      <c r="H70" s="397"/>
      <c r="I70" s="397"/>
      <c r="J70" s="397"/>
      <c r="K70" s="397"/>
      <c r="L70" s="397"/>
      <c r="M70" s="397"/>
      <c r="N70" s="397"/>
      <c r="O70" s="397"/>
      <c r="P70" s="397"/>
      <c r="Q70" s="397"/>
      <c r="R70" s="397"/>
      <c r="S70" s="397"/>
      <c r="T70" s="397"/>
      <c r="U70" s="397"/>
      <c r="V70" s="397"/>
      <c r="W70" s="398"/>
    </row>
    <row r="71" spans="1:23" x14ac:dyDescent="0.4">
      <c r="A71" s="400" t="s">
        <v>230</v>
      </c>
      <c r="B71" s="400"/>
      <c r="C71" s="400"/>
      <c r="D71" s="400"/>
      <c r="E71" s="396" t="str">
        <f>基本情報入力!$C$58&amp;""</f>
        <v/>
      </c>
      <c r="F71" s="397"/>
      <c r="G71" s="397"/>
      <c r="H71" s="397"/>
      <c r="I71" s="397"/>
      <c r="J71" s="397"/>
      <c r="K71" s="397"/>
      <c r="L71" s="397"/>
      <c r="M71" s="397"/>
      <c r="N71" s="397"/>
      <c r="O71" s="397"/>
      <c r="P71" s="397"/>
      <c r="Q71" s="397"/>
      <c r="R71" s="397"/>
      <c r="S71" s="397"/>
      <c r="T71" s="397"/>
      <c r="U71" s="397"/>
      <c r="V71" s="397"/>
      <c r="W71" s="398"/>
    </row>
    <row r="72" spans="1:23" x14ac:dyDescent="0.4">
      <c r="A72" s="400" t="s">
        <v>231</v>
      </c>
      <c r="B72" s="400"/>
      <c r="C72" s="400"/>
      <c r="D72" s="400"/>
      <c r="E72" s="396" t="str">
        <f>基本情報入力!$D$58&amp;""</f>
        <v/>
      </c>
      <c r="F72" s="397"/>
      <c r="G72" s="397"/>
      <c r="H72" s="397"/>
      <c r="I72" s="397"/>
      <c r="J72" s="397"/>
      <c r="K72" s="397"/>
      <c r="L72" s="397"/>
      <c r="M72" s="397"/>
      <c r="N72" s="397"/>
      <c r="O72" s="397"/>
      <c r="P72" s="397"/>
      <c r="Q72" s="397"/>
      <c r="R72" s="397"/>
      <c r="S72" s="397"/>
      <c r="T72" s="397"/>
      <c r="U72" s="397"/>
      <c r="V72" s="397"/>
      <c r="W72" s="398"/>
    </row>
    <row r="73" spans="1:23" ht="18.75" customHeight="1" x14ac:dyDescent="0.4">
      <c r="A73" s="400" t="str">
        <f>IF(E70="ゆうちょ銀行","記号番号","口座番号")</f>
        <v>口座番号</v>
      </c>
      <c r="B73" s="400"/>
      <c r="C73" s="400"/>
      <c r="D73" s="400"/>
      <c r="E73" s="396" t="str">
        <f>基本情報入力!$E$58&amp;""</f>
        <v/>
      </c>
      <c r="F73" s="397"/>
      <c r="G73" s="397"/>
      <c r="H73" s="397"/>
      <c r="I73" s="397"/>
      <c r="J73" s="397"/>
      <c r="K73" s="397"/>
      <c r="L73" s="397"/>
      <c r="M73" s="397"/>
      <c r="N73" s="397"/>
      <c r="O73" s="397"/>
      <c r="P73" s="397"/>
      <c r="Q73" s="397"/>
      <c r="R73" s="397"/>
      <c r="S73" s="397"/>
      <c r="T73" s="397"/>
      <c r="U73" s="397"/>
      <c r="V73" s="397"/>
      <c r="W73" s="398"/>
    </row>
    <row r="74" spans="1:23" ht="13.5" customHeight="1" x14ac:dyDescent="0.4">
      <c r="A74" s="401"/>
      <c r="B74" s="401"/>
      <c r="C74" s="401"/>
      <c r="D74" s="401"/>
    </row>
    <row r="75" spans="1:23" x14ac:dyDescent="0.4">
      <c r="A75" s="402" t="s">
        <v>233</v>
      </c>
      <c r="B75" s="402"/>
      <c r="C75" s="402"/>
      <c r="D75" s="402"/>
    </row>
    <row r="76" spans="1:23" x14ac:dyDescent="0.4">
      <c r="A76" s="400" t="s">
        <v>229</v>
      </c>
      <c r="B76" s="400"/>
      <c r="C76" s="400"/>
      <c r="D76" s="400"/>
      <c r="E76" s="396" t="str">
        <f>基本情報入力!$B$59&amp;""</f>
        <v/>
      </c>
      <c r="F76" s="397"/>
      <c r="G76" s="397"/>
      <c r="H76" s="397"/>
      <c r="I76" s="397"/>
      <c r="J76" s="397"/>
      <c r="K76" s="397"/>
      <c r="L76" s="397"/>
      <c r="M76" s="397"/>
      <c r="N76" s="397"/>
      <c r="O76" s="397"/>
      <c r="P76" s="397"/>
      <c r="Q76" s="397"/>
      <c r="R76" s="397"/>
      <c r="S76" s="397"/>
      <c r="T76" s="397"/>
      <c r="U76" s="397"/>
      <c r="V76" s="397"/>
      <c r="W76" s="398"/>
    </row>
    <row r="77" spans="1:23" x14ac:dyDescent="0.4">
      <c r="A77" s="400" t="s">
        <v>230</v>
      </c>
      <c r="B77" s="400"/>
      <c r="C77" s="400"/>
      <c r="D77" s="400"/>
      <c r="E77" s="396" t="str">
        <f>基本情報入力!$C$59&amp;""</f>
        <v/>
      </c>
      <c r="F77" s="397"/>
      <c r="G77" s="397"/>
      <c r="H77" s="397"/>
      <c r="I77" s="397"/>
      <c r="J77" s="397"/>
      <c r="K77" s="397"/>
      <c r="L77" s="397"/>
      <c r="M77" s="397"/>
      <c r="N77" s="397"/>
      <c r="O77" s="397"/>
      <c r="P77" s="397"/>
      <c r="Q77" s="397"/>
      <c r="R77" s="397"/>
      <c r="S77" s="397"/>
      <c r="T77" s="397"/>
      <c r="U77" s="397"/>
      <c r="V77" s="397"/>
      <c r="W77" s="398"/>
    </row>
    <row r="78" spans="1:23" x14ac:dyDescent="0.4">
      <c r="A78" s="400" t="s">
        <v>231</v>
      </c>
      <c r="B78" s="400"/>
      <c r="C78" s="400"/>
      <c r="D78" s="400"/>
      <c r="E78" s="396" t="str">
        <f>基本情報入力!$D$59&amp;""</f>
        <v/>
      </c>
      <c r="F78" s="397"/>
      <c r="G78" s="397"/>
      <c r="H78" s="397"/>
      <c r="I78" s="397"/>
      <c r="J78" s="397"/>
      <c r="K78" s="397"/>
      <c r="L78" s="397"/>
      <c r="M78" s="397"/>
      <c r="N78" s="397"/>
      <c r="O78" s="397"/>
      <c r="P78" s="397"/>
      <c r="Q78" s="397"/>
      <c r="R78" s="397"/>
      <c r="S78" s="397"/>
      <c r="T78" s="397"/>
      <c r="U78" s="397"/>
      <c r="V78" s="397"/>
      <c r="W78" s="398"/>
    </row>
    <row r="79" spans="1:23" ht="18.75" customHeight="1" x14ac:dyDescent="0.4">
      <c r="A79" s="400" t="str">
        <f>IF(E76="ゆうちょ銀行","記号番号","口座番号")</f>
        <v>口座番号</v>
      </c>
      <c r="B79" s="400"/>
      <c r="C79" s="400"/>
      <c r="D79" s="400"/>
      <c r="E79" s="396" t="str">
        <f>基本情報入力!$E$59&amp;""</f>
        <v/>
      </c>
      <c r="F79" s="397"/>
      <c r="G79" s="397"/>
      <c r="H79" s="397"/>
      <c r="I79" s="397"/>
      <c r="J79" s="397"/>
      <c r="K79" s="397"/>
      <c r="L79" s="397"/>
      <c r="M79" s="397"/>
      <c r="N79" s="397"/>
      <c r="O79" s="397"/>
      <c r="P79" s="397"/>
      <c r="Q79" s="397"/>
      <c r="R79" s="397"/>
      <c r="S79" s="397"/>
      <c r="T79" s="397"/>
      <c r="U79" s="397"/>
      <c r="V79" s="397"/>
      <c r="W79" s="398"/>
    </row>
    <row r="80" spans="1:23" ht="13.5" customHeight="1" x14ac:dyDescent="0.4">
      <c r="A80" s="401"/>
      <c r="B80" s="401"/>
      <c r="C80" s="401"/>
      <c r="D80" s="401"/>
    </row>
    <row r="81" spans="1:23" x14ac:dyDescent="0.4">
      <c r="A81" s="402" t="s">
        <v>234</v>
      </c>
      <c r="B81" s="402"/>
      <c r="C81" s="402"/>
      <c r="D81" s="402"/>
    </row>
    <row r="82" spans="1:23" x14ac:dyDescent="0.4">
      <c r="A82" s="400" t="s">
        <v>229</v>
      </c>
      <c r="B82" s="400"/>
      <c r="C82" s="400"/>
      <c r="D82" s="400"/>
      <c r="E82" s="396" t="str">
        <f>基本情報入力!$B$60&amp;""</f>
        <v/>
      </c>
      <c r="F82" s="397"/>
      <c r="G82" s="397"/>
      <c r="H82" s="397"/>
      <c r="I82" s="397"/>
      <c r="J82" s="397"/>
      <c r="K82" s="397"/>
      <c r="L82" s="397"/>
      <c r="M82" s="397"/>
      <c r="N82" s="397"/>
      <c r="O82" s="397"/>
      <c r="P82" s="397"/>
      <c r="Q82" s="397"/>
      <c r="R82" s="397"/>
      <c r="S82" s="397"/>
      <c r="T82" s="397"/>
      <c r="U82" s="397"/>
      <c r="V82" s="397"/>
      <c r="W82" s="398"/>
    </row>
    <row r="83" spans="1:23" x14ac:dyDescent="0.4">
      <c r="A83" s="400" t="s">
        <v>230</v>
      </c>
      <c r="B83" s="400"/>
      <c r="C83" s="400"/>
      <c r="D83" s="400"/>
      <c r="E83" s="396" t="str">
        <f>基本情報入力!$C$60&amp;""</f>
        <v/>
      </c>
      <c r="F83" s="397"/>
      <c r="G83" s="397"/>
      <c r="H83" s="397"/>
      <c r="I83" s="397"/>
      <c r="J83" s="397"/>
      <c r="K83" s="397"/>
      <c r="L83" s="397"/>
      <c r="M83" s="397"/>
      <c r="N83" s="397"/>
      <c r="O83" s="397"/>
      <c r="P83" s="397"/>
      <c r="Q83" s="397"/>
      <c r="R83" s="397"/>
      <c r="S83" s="397"/>
      <c r="T83" s="397"/>
      <c r="U83" s="397"/>
      <c r="V83" s="397"/>
      <c r="W83" s="398"/>
    </row>
    <row r="84" spans="1:23" x14ac:dyDescent="0.4">
      <c r="A84" s="400" t="s">
        <v>231</v>
      </c>
      <c r="B84" s="400"/>
      <c r="C84" s="400"/>
      <c r="D84" s="400"/>
      <c r="E84" s="396" t="str">
        <f>基本情報入力!$D$60&amp;""</f>
        <v/>
      </c>
      <c r="F84" s="397"/>
      <c r="G84" s="397"/>
      <c r="H84" s="397"/>
      <c r="I84" s="397"/>
      <c r="J84" s="397"/>
      <c r="K84" s="397"/>
      <c r="L84" s="397"/>
      <c r="M84" s="397"/>
      <c r="N84" s="397"/>
      <c r="O84" s="397"/>
      <c r="P84" s="397"/>
      <c r="Q84" s="397"/>
      <c r="R84" s="397"/>
      <c r="S84" s="397"/>
      <c r="T84" s="397"/>
      <c r="U84" s="397"/>
      <c r="V84" s="397"/>
      <c r="W84" s="398"/>
    </row>
    <row r="85" spans="1:23" ht="18.75" customHeight="1" x14ac:dyDescent="0.4">
      <c r="A85" s="400" t="str">
        <f>IF(E82="ゆうちょ銀行","記号番号","口座番号")</f>
        <v>口座番号</v>
      </c>
      <c r="B85" s="400"/>
      <c r="C85" s="400"/>
      <c r="D85" s="400"/>
      <c r="E85" s="396" t="str">
        <f>基本情報入力!$E$60&amp;""</f>
        <v/>
      </c>
      <c r="F85" s="397"/>
      <c r="G85" s="397"/>
      <c r="H85" s="397"/>
      <c r="I85" s="397"/>
      <c r="J85" s="397"/>
      <c r="K85" s="397"/>
      <c r="L85" s="397"/>
      <c r="M85" s="397"/>
      <c r="N85" s="397"/>
      <c r="O85" s="397"/>
      <c r="P85" s="397"/>
      <c r="Q85" s="397"/>
      <c r="R85" s="397"/>
      <c r="S85" s="397"/>
      <c r="T85" s="397"/>
      <c r="U85" s="397"/>
      <c r="V85" s="397"/>
      <c r="W85" s="398"/>
    </row>
    <row r="86" spans="1:23" x14ac:dyDescent="0.4">
      <c r="A86" s="402" t="s">
        <v>235</v>
      </c>
      <c r="B86" s="402"/>
      <c r="C86" s="402"/>
      <c r="D86" s="402"/>
    </row>
    <row r="87" spans="1:23" x14ac:dyDescent="0.4">
      <c r="A87" s="400" t="s">
        <v>229</v>
      </c>
      <c r="B87" s="400"/>
      <c r="C87" s="400"/>
      <c r="D87" s="400"/>
      <c r="E87" s="396" t="str">
        <f>基本情報入力!$B$61&amp;""</f>
        <v/>
      </c>
      <c r="F87" s="397"/>
      <c r="G87" s="397"/>
      <c r="H87" s="397"/>
      <c r="I87" s="397"/>
      <c r="J87" s="397"/>
      <c r="K87" s="397"/>
      <c r="L87" s="397"/>
      <c r="M87" s="397"/>
      <c r="N87" s="397"/>
      <c r="O87" s="397"/>
      <c r="P87" s="397"/>
      <c r="Q87" s="397"/>
      <c r="R87" s="397"/>
      <c r="S87" s="397"/>
      <c r="T87" s="397"/>
      <c r="U87" s="397"/>
      <c r="V87" s="397"/>
      <c r="W87" s="398"/>
    </row>
    <row r="88" spans="1:23" x14ac:dyDescent="0.4">
      <c r="A88" s="400" t="s">
        <v>230</v>
      </c>
      <c r="B88" s="400"/>
      <c r="C88" s="400"/>
      <c r="D88" s="400"/>
      <c r="E88" s="396" t="str">
        <f>基本情報入力!$C$61&amp;""</f>
        <v/>
      </c>
      <c r="F88" s="397"/>
      <c r="G88" s="397"/>
      <c r="H88" s="397"/>
      <c r="I88" s="397"/>
      <c r="J88" s="397"/>
      <c r="K88" s="397"/>
      <c r="L88" s="397"/>
      <c r="M88" s="397"/>
      <c r="N88" s="397"/>
      <c r="O88" s="397"/>
      <c r="P88" s="397"/>
      <c r="Q88" s="397"/>
      <c r="R88" s="397"/>
      <c r="S88" s="397"/>
      <c r="T88" s="397"/>
      <c r="U88" s="397"/>
      <c r="V88" s="397"/>
      <c r="W88" s="398"/>
    </row>
    <row r="89" spans="1:23" x14ac:dyDescent="0.4">
      <c r="A89" s="400" t="s">
        <v>231</v>
      </c>
      <c r="B89" s="400"/>
      <c r="C89" s="400"/>
      <c r="D89" s="400"/>
      <c r="E89" s="396" t="str">
        <f>基本情報入力!$D$61&amp;""</f>
        <v/>
      </c>
      <c r="F89" s="397"/>
      <c r="G89" s="397"/>
      <c r="H89" s="397"/>
      <c r="I89" s="397"/>
      <c r="J89" s="397"/>
      <c r="K89" s="397"/>
      <c r="L89" s="397"/>
      <c r="M89" s="397"/>
      <c r="N89" s="397"/>
      <c r="O89" s="397"/>
      <c r="P89" s="397"/>
      <c r="Q89" s="397"/>
      <c r="R89" s="397"/>
      <c r="S89" s="397"/>
      <c r="T89" s="397"/>
      <c r="U89" s="397"/>
      <c r="V89" s="397"/>
      <c r="W89" s="398"/>
    </row>
    <row r="90" spans="1:23" ht="18.75" customHeight="1" x14ac:dyDescent="0.4">
      <c r="A90" s="400" t="str">
        <f>IF(E87="ゆうちょ銀行","記号番号","口座番号")</f>
        <v>口座番号</v>
      </c>
      <c r="B90" s="400"/>
      <c r="C90" s="400"/>
      <c r="D90" s="400"/>
      <c r="E90" s="396" t="str">
        <f>基本情報入力!$E$61&amp;""</f>
        <v/>
      </c>
      <c r="F90" s="397"/>
      <c r="G90" s="397"/>
      <c r="H90" s="397"/>
      <c r="I90" s="397"/>
      <c r="J90" s="397"/>
      <c r="K90" s="397"/>
      <c r="L90" s="397"/>
      <c r="M90" s="397"/>
      <c r="N90" s="397"/>
      <c r="O90" s="397"/>
      <c r="P90" s="397"/>
      <c r="Q90" s="397"/>
      <c r="R90" s="397"/>
      <c r="S90" s="397"/>
      <c r="T90" s="397"/>
      <c r="U90" s="397"/>
      <c r="V90" s="397"/>
      <c r="W90" s="398"/>
    </row>
    <row r="91" spans="1:23" ht="13.5" customHeight="1" x14ac:dyDescent="0.4">
      <c r="A91" s="401"/>
      <c r="B91" s="401"/>
      <c r="C91" s="401"/>
      <c r="D91" s="401"/>
    </row>
    <row r="92" spans="1:23" x14ac:dyDescent="0.4">
      <c r="A92" s="402" t="s">
        <v>236</v>
      </c>
      <c r="B92" s="402"/>
      <c r="C92" s="402"/>
      <c r="D92" s="402"/>
    </row>
    <row r="93" spans="1:23" x14ac:dyDescent="0.4">
      <c r="A93" s="400" t="s">
        <v>229</v>
      </c>
      <c r="B93" s="400"/>
      <c r="C93" s="400"/>
      <c r="D93" s="400"/>
      <c r="E93" s="396" t="str">
        <f>基本情報入力!$B$62&amp;""</f>
        <v/>
      </c>
      <c r="F93" s="397"/>
      <c r="G93" s="397"/>
      <c r="H93" s="397"/>
      <c r="I93" s="397"/>
      <c r="J93" s="397"/>
      <c r="K93" s="397"/>
      <c r="L93" s="397"/>
      <c r="M93" s="397"/>
      <c r="N93" s="397"/>
      <c r="O93" s="397"/>
      <c r="P93" s="397"/>
      <c r="Q93" s="397"/>
      <c r="R93" s="397"/>
      <c r="S93" s="397"/>
      <c r="T93" s="397"/>
      <c r="U93" s="397"/>
      <c r="V93" s="397"/>
      <c r="W93" s="398"/>
    </row>
    <row r="94" spans="1:23" x14ac:dyDescent="0.4">
      <c r="A94" s="400" t="s">
        <v>230</v>
      </c>
      <c r="B94" s="400"/>
      <c r="C94" s="400"/>
      <c r="D94" s="400"/>
      <c r="E94" s="396" t="str">
        <f>基本情報入力!$C$62&amp;""</f>
        <v/>
      </c>
      <c r="F94" s="397"/>
      <c r="G94" s="397"/>
      <c r="H94" s="397"/>
      <c r="I94" s="397"/>
      <c r="J94" s="397"/>
      <c r="K94" s="397"/>
      <c r="L94" s="397"/>
      <c r="M94" s="397"/>
      <c r="N94" s="397"/>
      <c r="O94" s="397"/>
      <c r="P94" s="397"/>
      <c r="Q94" s="397"/>
      <c r="R94" s="397"/>
      <c r="S94" s="397"/>
      <c r="T94" s="397"/>
      <c r="U94" s="397"/>
      <c r="V94" s="397"/>
      <c r="W94" s="398"/>
    </row>
    <row r="95" spans="1:23" x14ac:dyDescent="0.4">
      <c r="A95" s="400" t="s">
        <v>231</v>
      </c>
      <c r="B95" s="400"/>
      <c r="C95" s="400"/>
      <c r="D95" s="400"/>
      <c r="E95" s="396" t="str">
        <f>基本情報入力!$D$62&amp;""</f>
        <v/>
      </c>
      <c r="F95" s="397"/>
      <c r="G95" s="397"/>
      <c r="H95" s="397"/>
      <c r="I95" s="397"/>
      <c r="J95" s="397"/>
      <c r="K95" s="397"/>
      <c r="L95" s="397"/>
      <c r="M95" s="397"/>
      <c r="N95" s="397"/>
      <c r="O95" s="397"/>
      <c r="P95" s="397"/>
      <c r="Q95" s="397"/>
      <c r="R95" s="397"/>
      <c r="S95" s="397"/>
      <c r="T95" s="397"/>
      <c r="U95" s="397"/>
      <c r="V95" s="397"/>
      <c r="W95" s="398"/>
    </row>
    <row r="96" spans="1:23" ht="18.75" customHeight="1" x14ac:dyDescent="0.4">
      <c r="A96" s="400" t="str">
        <f>IF(E93="ゆうちょ銀行","記号番号","口座番号")</f>
        <v>口座番号</v>
      </c>
      <c r="B96" s="400"/>
      <c r="C96" s="400"/>
      <c r="D96" s="400"/>
      <c r="E96" s="396" t="str">
        <f>基本情報入力!$E$62&amp;""</f>
        <v/>
      </c>
      <c r="F96" s="397"/>
      <c r="G96" s="397"/>
      <c r="H96" s="397"/>
      <c r="I96" s="397"/>
      <c r="J96" s="397"/>
      <c r="K96" s="397"/>
      <c r="L96" s="397"/>
      <c r="M96" s="397"/>
      <c r="N96" s="397"/>
      <c r="O96" s="397"/>
      <c r="P96" s="397"/>
      <c r="Q96" s="397"/>
      <c r="R96" s="397"/>
      <c r="S96" s="397"/>
      <c r="T96" s="397"/>
      <c r="U96" s="397"/>
      <c r="V96" s="397"/>
      <c r="W96" s="398"/>
    </row>
    <row r="97" spans="1:23" ht="13.5" customHeight="1" x14ac:dyDescent="0.4">
      <c r="A97" s="401"/>
      <c r="B97" s="401"/>
      <c r="C97" s="401"/>
      <c r="D97" s="401"/>
    </row>
    <row r="98" spans="1:23" x14ac:dyDescent="0.4">
      <c r="A98" s="402" t="s">
        <v>237</v>
      </c>
      <c r="B98" s="402"/>
      <c r="C98" s="402"/>
      <c r="D98" s="402"/>
    </row>
    <row r="99" spans="1:23" x14ac:dyDescent="0.4">
      <c r="A99" s="400" t="s">
        <v>229</v>
      </c>
      <c r="B99" s="400"/>
      <c r="C99" s="400"/>
      <c r="D99" s="400"/>
      <c r="E99" s="396" t="str">
        <f>基本情報入力!$B$63&amp;""</f>
        <v/>
      </c>
      <c r="F99" s="397"/>
      <c r="G99" s="397"/>
      <c r="H99" s="397"/>
      <c r="I99" s="397"/>
      <c r="J99" s="397"/>
      <c r="K99" s="397"/>
      <c r="L99" s="397"/>
      <c r="M99" s="397"/>
      <c r="N99" s="397"/>
      <c r="O99" s="397"/>
      <c r="P99" s="397"/>
      <c r="Q99" s="397"/>
      <c r="R99" s="397"/>
      <c r="S99" s="397"/>
      <c r="T99" s="397"/>
      <c r="U99" s="397"/>
      <c r="V99" s="397"/>
      <c r="W99" s="398"/>
    </row>
    <row r="100" spans="1:23" x14ac:dyDescent="0.4">
      <c r="A100" s="400" t="s">
        <v>230</v>
      </c>
      <c r="B100" s="400"/>
      <c r="C100" s="400"/>
      <c r="D100" s="400"/>
      <c r="E100" s="396" t="str">
        <f>基本情報入力!$C$63&amp;""</f>
        <v/>
      </c>
      <c r="F100" s="397"/>
      <c r="G100" s="397"/>
      <c r="H100" s="397"/>
      <c r="I100" s="397"/>
      <c r="J100" s="397"/>
      <c r="K100" s="397"/>
      <c r="L100" s="397"/>
      <c r="M100" s="397"/>
      <c r="N100" s="397"/>
      <c r="O100" s="397"/>
      <c r="P100" s="397"/>
      <c r="Q100" s="397"/>
      <c r="R100" s="397"/>
      <c r="S100" s="397"/>
      <c r="T100" s="397"/>
      <c r="U100" s="397"/>
      <c r="V100" s="397"/>
      <c r="W100" s="398"/>
    </row>
    <row r="101" spans="1:23" x14ac:dyDescent="0.4">
      <c r="A101" s="400" t="s">
        <v>231</v>
      </c>
      <c r="B101" s="400"/>
      <c r="C101" s="400"/>
      <c r="D101" s="400"/>
      <c r="E101" s="396" t="str">
        <f>基本情報入力!$D$63&amp;""</f>
        <v/>
      </c>
      <c r="F101" s="397"/>
      <c r="G101" s="397"/>
      <c r="H101" s="397"/>
      <c r="I101" s="397"/>
      <c r="J101" s="397"/>
      <c r="K101" s="397"/>
      <c r="L101" s="397"/>
      <c r="M101" s="397"/>
      <c r="N101" s="397"/>
      <c r="O101" s="397"/>
      <c r="P101" s="397"/>
      <c r="Q101" s="397"/>
      <c r="R101" s="397"/>
      <c r="S101" s="397"/>
      <c r="T101" s="397"/>
      <c r="U101" s="397"/>
      <c r="V101" s="397"/>
      <c r="W101" s="398"/>
    </row>
    <row r="102" spans="1:23" ht="18.75" customHeight="1" x14ac:dyDescent="0.4">
      <c r="A102" s="400" t="str">
        <f>IF(E99="ゆうちょ銀行","記号番号","口座番号")</f>
        <v>口座番号</v>
      </c>
      <c r="B102" s="400"/>
      <c r="C102" s="400"/>
      <c r="D102" s="400"/>
      <c r="E102" s="396" t="str">
        <f>基本情報入力!$E$63&amp;""</f>
        <v/>
      </c>
      <c r="F102" s="397"/>
      <c r="G102" s="397"/>
      <c r="H102" s="397"/>
      <c r="I102" s="397"/>
      <c r="J102" s="397"/>
      <c r="K102" s="397"/>
      <c r="L102" s="397"/>
      <c r="M102" s="397"/>
      <c r="N102" s="397"/>
      <c r="O102" s="397"/>
      <c r="P102" s="397"/>
      <c r="Q102" s="397"/>
      <c r="R102" s="397"/>
      <c r="S102" s="397"/>
      <c r="T102" s="397"/>
      <c r="U102" s="397"/>
      <c r="V102" s="397"/>
      <c r="W102" s="398"/>
    </row>
    <row r="103" spans="1:23" ht="13.5" customHeight="1" x14ac:dyDescent="0.4">
      <c r="A103" s="401"/>
      <c r="B103" s="401"/>
      <c r="C103" s="401"/>
      <c r="D103" s="401"/>
    </row>
    <row r="104" spans="1:23" x14ac:dyDescent="0.4">
      <c r="A104" s="402" t="s">
        <v>238</v>
      </c>
      <c r="B104" s="402"/>
      <c r="C104" s="402"/>
      <c r="D104" s="402"/>
    </row>
    <row r="105" spans="1:23" x14ac:dyDescent="0.4">
      <c r="A105" s="400" t="s">
        <v>229</v>
      </c>
      <c r="B105" s="400"/>
      <c r="C105" s="400"/>
      <c r="D105" s="400"/>
      <c r="E105" s="396" t="str">
        <f>基本情報入力!$B$64&amp;""</f>
        <v/>
      </c>
      <c r="F105" s="397"/>
      <c r="G105" s="397"/>
      <c r="H105" s="397"/>
      <c r="I105" s="397"/>
      <c r="J105" s="397"/>
      <c r="K105" s="397"/>
      <c r="L105" s="397"/>
      <c r="M105" s="397"/>
      <c r="N105" s="397"/>
      <c r="O105" s="397"/>
      <c r="P105" s="397"/>
      <c r="Q105" s="397"/>
      <c r="R105" s="397"/>
      <c r="S105" s="397"/>
      <c r="T105" s="397"/>
      <c r="U105" s="397"/>
      <c r="V105" s="397"/>
      <c r="W105" s="398"/>
    </row>
    <row r="106" spans="1:23" x14ac:dyDescent="0.4">
      <c r="A106" s="400" t="s">
        <v>230</v>
      </c>
      <c r="B106" s="400"/>
      <c r="C106" s="400"/>
      <c r="D106" s="400"/>
      <c r="E106" s="396" t="str">
        <f>基本情報入力!$C$64&amp;""</f>
        <v/>
      </c>
      <c r="F106" s="397"/>
      <c r="G106" s="397"/>
      <c r="H106" s="397"/>
      <c r="I106" s="397"/>
      <c r="J106" s="397"/>
      <c r="K106" s="397"/>
      <c r="L106" s="397"/>
      <c r="M106" s="397"/>
      <c r="N106" s="397"/>
      <c r="O106" s="397"/>
      <c r="P106" s="397"/>
      <c r="Q106" s="397"/>
      <c r="R106" s="397"/>
      <c r="S106" s="397"/>
      <c r="T106" s="397"/>
      <c r="U106" s="397"/>
      <c r="V106" s="397"/>
      <c r="W106" s="398"/>
    </row>
    <row r="107" spans="1:23" x14ac:dyDescent="0.4">
      <c r="A107" s="400" t="s">
        <v>231</v>
      </c>
      <c r="B107" s="400"/>
      <c r="C107" s="400"/>
      <c r="D107" s="400"/>
      <c r="E107" s="396" t="str">
        <f>基本情報入力!$D$64&amp;""</f>
        <v/>
      </c>
      <c r="F107" s="397"/>
      <c r="G107" s="397"/>
      <c r="H107" s="397"/>
      <c r="I107" s="397"/>
      <c r="J107" s="397"/>
      <c r="K107" s="397"/>
      <c r="L107" s="397"/>
      <c r="M107" s="397"/>
      <c r="N107" s="397"/>
      <c r="O107" s="397"/>
      <c r="P107" s="397"/>
      <c r="Q107" s="397"/>
      <c r="R107" s="397"/>
      <c r="S107" s="397"/>
      <c r="T107" s="397"/>
      <c r="U107" s="397"/>
      <c r="V107" s="397"/>
      <c r="W107" s="398"/>
    </row>
    <row r="108" spans="1:23" ht="18.75" customHeight="1" x14ac:dyDescent="0.4">
      <c r="A108" s="400" t="str">
        <f>IF(E105="ゆうちょ銀行","記号番号","口座番号")</f>
        <v>口座番号</v>
      </c>
      <c r="B108" s="400"/>
      <c r="C108" s="400"/>
      <c r="D108" s="400"/>
      <c r="E108" s="396" t="str">
        <f>基本情報入力!$E$64&amp;""</f>
        <v/>
      </c>
      <c r="F108" s="397"/>
      <c r="G108" s="397"/>
      <c r="H108" s="397"/>
      <c r="I108" s="397"/>
      <c r="J108" s="397"/>
      <c r="K108" s="397"/>
      <c r="L108" s="397"/>
      <c r="M108" s="397"/>
      <c r="N108" s="397"/>
      <c r="O108" s="397"/>
      <c r="P108" s="397"/>
      <c r="Q108" s="397"/>
      <c r="R108" s="397"/>
      <c r="S108" s="397"/>
      <c r="T108" s="397"/>
      <c r="U108" s="397"/>
      <c r="V108" s="397"/>
      <c r="W108" s="398"/>
    </row>
    <row r="109" spans="1:23" ht="13.5" customHeight="1" x14ac:dyDescent="0.4">
      <c r="A109" s="401"/>
      <c r="B109" s="401"/>
      <c r="C109" s="401"/>
      <c r="D109" s="401"/>
    </row>
    <row r="110" spans="1:23" x14ac:dyDescent="0.4">
      <c r="A110" s="402" t="s">
        <v>239</v>
      </c>
      <c r="B110" s="402"/>
      <c r="C110" s="402"/>
      <c r="D110" s="402"/>
    </row>
    <row r="111" spans="1:23" x14ac:dyDescent="0.4">
      <c r="A111" s="400" t="s">
        <v>229</v>
      </c>
      <c r="B111" s="400"/>
      <c r="C111" s="400"/>
      <c r="D111" s="400"/>
      <c r="E111" s="396" t="str">
        <f>基本情報入力!$B$65&amp;""</f>
        <v/>
      </c>
      <c r="F111" s="397"/>
      <c r="G111" s="397"/>
      <c r="H111" s="397"/>
      <c r="I111" s="397"/>
      <c r="J111" s="397"/>
      <c r="K111" s="397"/>
      <c r="L111" s="397"/>
      <c r="M111" s="397"/>
      <c r="N111" s="397"/>
      <c r="O111" s="397"/>
      <c r="P111" s="397"/>
      <c r="Q111" s="397"/>
      <c r="R111" s="397"/>
      <c r="S111" s="397"/>
      <c r="T111" s="397"/>
      <c r="U111" s="397"/>
      <c r="V111" s="397"/>
      <c r="W111" s="398"/>
    </row>
    <row r="112" spans="1:23" x14ac:dyDescent="0.4">
      <c r="A112" s="400" t="s">
        <v>230</v>
      </c>
      <c r="B112" s="400"/>
      <c r="C112" s="400"/>
      <c r="D112" s="400"/>
      <c r="E112" s="396" t="str">
        <f>基本情報入力!$C$65&amp;""</f>
        <v/>
      </c>
      <c r="F112" s="397"/>
      <c r="G112" s="397"/>
      <c r="H112" s="397"/>
      <c r="I112" s="397"/>
      <c r="J112" s="397"/>
      <c r="K112" s="397"/>
      <c r="L112" s="397"/>
      <c r="M112" s="397"/>
      <c r="N112" s="397"/>
      <c r="O112" s="397"/>
      <c r="P112" s="397"/>
      <c r="Q112" s="397"/>
      <c r="R112" s="397"/>
      <c r="S112" s="397"/>
      <c r="T112" s="397"/>
      <c r="U112" s="397"/>
      <c r="V112" s="397"/>
      <c r="W112" s="398"/>
    </row>
    <row r="113" spans="1:23" x14ac:dyDescent="0.4">
      <c r="A113" s="400" t="s">
        <v>231</v>
      </c>
      <c r="B113" s="400"/>
      <c r="C113" s="400"/>
      <c r="D113" s="400"/>
      <c r="E113" s="396" t="str">
        <f>基本情報入力!$D$65&amp;""</f>
        <v/>
      </c>
      <c r="F113" s="397"/>
      <c r="G113" s="397"/>
      <c r="H113" s="397"/>
      <c r="I113" s="397"/>
      <c r="J113" s="397"/>
      <c r="K113" s="397"/>
      <c r="L113" s="397"/>
      <c r="M113" s="397"/>
      <c r="N113" s="397"/>
      <c r="O113" s="397"/>
      <c r="P113" s="397"/>
      <c r="Q113" s="397"/>
      <c r="R113" s="397"/>
      <c r="S113" s="397"/>
      <c r="T113" s="397"/>
      <c r="U113" s="397"/>
      <c r="V113" s="397"/>
      <c r="W113" s="398"/>
    </row>
    <row r="114" spans="1:23" ht="18.75" customHeight="1" x14ac:dyDescent="0.4">
      <c r="A114" s="400" t="str">
        <f>IF(E111="ゆうちょ銀行","記号番号","口座番号")</f>
        <v>口座番号</v>
      </c>
      <c r="B114" s="400"/>
      <c r="C114" s="400"/>
      <c r="D114" s="400"/>
      <c r="E114" s="396" t="str">
        <f>基本情報入力!$E$65&amp;""</f>
        <v/>
      </c>
      <c r="F114" s="397"/>
      <c r="G114" s="397"/>
      <c r="H114" s="397"/>
      <c r="I114" s="397"/>
      <c r="J114" s="397"/>
      <c r="K114" s="397"/>
      <c r="L114" s="397"/>
      <c r="M114" s="397"/>
      <c r="N114" s="397"/>
      <c r="O114" s="397"/>
      <c r="P114" s="397"/>
      <c r="Q114" s="397"/>
      <c r="R114" s="397"/>
      <c r="S114" s="397"/>
      <c r="T114" s="397"/>
      <c r="U114" s="397"/>
      <c r="V114" s="397"/>
      <c r="W114" s="398"/>
    </row>
    <row r="115" spans="1:23" ht="13.5" customHeight="1" x14ac:dyDescent="0.4">
      <c r="A115" s="401"/>
      <c r="B115" s="401"/>
      <c r="C115" s="401"/>
      <c r="D115" s="401"/>
    </row>
    <row r="116" spans="1:23" x14ac:dyDescent="0.4">
      <c r="A116" s="402" t="s">
        <v>240</v>
      </c>
      <c r="B116" s="402"/>
      <c r="C116" s="402"/>
      <c r="D116" s="402"/>
    </row>
    <row r="117" spans="1:23" x14ac:dyDescent="0.4">
      <c r="A117" s="400" t="s">
        <v>229</v>
      </c>
      <c r="B117" s="400"/>
      <c r="C117" s="400"/>
      <c r="D117" s="400"/>
      <c r="E117" s="396" t="str">
        <f>基本情報入力!$B$66&amp;""</f>
        <v/>
      </c>
      <c r="F117" s="397"/>
      <c r="G117" s="397"/>
      <c r="H117" s="397"/>
      <c r="I117" s="397"/>
      <c r="J117" s="397"/>
      <c r="K117" s="397"/>
      <c r="L117" s="397"/>
      <c r="M117" s="397"/>
      <c r="N117" s="397"/>
      <c r="O117" s="397"/>
      <c r="P117" s="397"/>
      <c r="Q117" s="397"/>
      <c r="R117" s="397"/>
      <c r="S117" s="397"/>
      <c r="T117" s="397"/>
      <c r="U117" s="397"/>
      <c r="V117" s="397"/>
      <c r="W117" s="398"/>
    </row>
    <row r="118" spans="1:23" x14ac:dyDescent="0.4">
      <c r="A118" s="400" t="s">
        <v>230</v>
      </c>
      <c r="B118" s="400"/>
      <c r="C118" s="400"/>
      <c r="D118" s="400"/>
      <c r="E118" s="396" t="str">
        <f>基本情報入力!$C$66&amp;""</f>
        <v/>
      </c>
      <c r="F118" s="397"/>
      <c r="G118" s="397"/>
      <c r="H118" s="397"/>
      <c r="I118" s="397"/>
      <c r="J118" s="397"/>
      <c r="K118" s="397"/>
      <c r="L118" s="397"/>
      <c r="M118" s="397"/>
      <c r="N118" s="397"/>
      <c r="O118" s="397"/>
      <c r="P118" s="397"/>
      <c r="Q118" s="397"/>
      <c r="R118" s="397"/>
      <c r="S118" s="397"/>
      <c r="T118" s="397"/>
      <c r="U118" s="397"/>
      <c r="V118" s="397"/>
      <c r="W118" s="398"/>
    </row>
    <row r="119" spans="1:23" x14ac:dyDescent="0.4">
      <c r="A119" s="400" t="s">
        <v>231</v>
      </c>
      <c r="B119" s="400"/>
      <c r="C119" s="400"/>
      <c r="D119" s="400"/>
      <c r="E119" s="396" t="str">
        <f>基本情報入力!$D$66&amp;""</f>
        <v/>
      </c>
      <c r="F119" s="397"/>
      <c r="G119" s="397"/>
      <c r="H119" s="397"/>
      <c r="I119" s="397"/>
      <c r="J119" s="397"/>
      <c r="K119" s="397"/>
      <c r="L119" s="397"/>
      <c r="M119" s="397"/>
      <c r="N119" s="397"/>
      <c r="O119" s="397"/>
      <c r="P119" s="397"/>
      <c r="Q119" s="397"/>
      <c r="R119" s="397"/>
      <c r="S119" s="397"/>
      <c r="T119" s="397"/>
      <c r="U119" s="397"/>
      <c r="V119" s="397"/>
      <c r="W119" s="398"/>
    </row>
    <row r="120" spans="1:23" ht="18.75" customHeight="1" x14ac:dyDescent="0.4">
      <c r="A120" s="400" t="str">
        <f>IF(E117="ゆうちょ銀行","記号番号","口座番号")</f>
        <v>口座番号</v>
      </c>
      <c r="B120" s="400"/>
      <c r="C120" s="400"/>
      <c r="D120" s="400"/>
      <c r="E120" s="396" t="str">
        <f>基本情報入力!$E$66&amp;""</f>
        <v/>
      </c>
      <c r="F120" s="397"/>
      <c r="G120" s="397"/>
      <c r="H120" s="397"/>
      <c r="I120" s="397"/>
      <c r="J120" s="397"/>
      <c r="K120" s="397"/>
      <c r="L120" s="397"/>
      <c r="M120" s="397"/>
      <c r="N120" s="397"/>
      <c r="O120" s="397"/>
      <c r="P120" s="397"/>
      <c r="Q120" s="397"/>
      <c r="R120" s="397"/>
      <c r="S120" s="397"/>
      <c r="T120" s="397"/>
      <c r="U120" s="397"/>
      <c r="V120" s="397"/>
      <c r="W120" s="398"/>
    </row>
    <row r="121" spans="1:23" ht="13.5" customHeight="1" x14ac:dyDescent="0.4">
      <c r="A121" s="401"/>
      <c r="B121" s="401"/>
      <c r="C121" s="401"/>
      <c r="D121" s="401"/>
    </row>
    <row r="122" spans="1:23" x14ac:dyDescent="0.4">
      <c r="A122" s="402" t="s">
        <v>241</v>
      </c>
      <c r="B122" s="402"/>
      <c r="C122" s="402"/>
      <c r="D122" s="402"/>
    </row>
    <row r="123" spans="1:23" x14ac:dyDescent="0.4">
      <c r="A123" s="400" t="s">
        <v>229</v>
      </c>
      <c r="B123" s="400"/>
      <c r="C123" s="400"/>
      <c r="D123" s="400"/>
      <c r="E123" s="396" t="str">
        <f>基本情報入力!$B$67&amp;""</f>
        <v/>
      </c>
      <c r="F123" s="397"/>
      <c r="G123" s="397"/>
      <c r="H123" s="397"/>
      <c r="I123" s="397"/>
      <c r="J123" s="397"/>
      <c r="K123" s="397"/>
      <c r="L123" s="397"/>
      <c r="M123" s="397"/>
      <c r="N123" s="397"/>
      <c r="O123" s="397"/>
      <c r="P123" s="397"/>
      <c r="Q123" s="397"/>
      <c r="R123" s="397"/>
      <c r="S123" s="397"/>
      <c r="T123" s="397"/>
      <c r="U123" s="397"/>
      <c r="V123" s="397"/>
      <c r="W123" s="398"/>
    </row>
    <row r="124" spans="1:23" x14ac:dyDescent="0.4">
      <c r="A124" s="400" t="s">
        <v>230</v>
      </c>
      <c r="B124" s="400"/>
      <c r="C124" s="400"/>
      <c r="D124" s="400"/>
      <c r="E124" s="396" t="str">
        <f>基本情報入力!$C$67&amp;""</f>
        <v/>
      </c>
      <c r="F124" s="397"/>
      <c r="G124" s="397"/>
      <c r="H124" s="397"/>
      <c r="I124" s="397"/>
      <c r="J124" s="397"/>
      <c r="K124" s="397"/>
      <c r="L124" s="397"/>
      <c r="M124" s="397"/>
      <c r="N124" s="397"/>
      <c r="O124" s="397"/>
      <c r="P124" s="397"/>
      <c r="Q124" s="397"/>
      <c r="R124" s="397"/>
      <c r="S124" s="397"/>
      <c r="T124" s="397"/>
      <c r="U124" s="397"/>
      <c r="V124" s="397"/>
      <c r="W124" s="398"/>
    </row>
    <row r="125" spans="1:23" x14ac:dyDescent="0.4">
      <c r="A125" s="400" t="s">
        <v>231</v>
      </c>
      <c r="B125" s="400"/>
      <c r="C125" s="400"/>
      <c r="D125" s="400"/>
      <c r="E125" s="396" t="str">
        <f>基本情報入力!$D$67&amp;""</f>
        <v/>
      </c>
      <c r="F125" s="397"/>
      <c r="G125" s="397"/>
      <c r="H125" s="397"/>
      <c r="I125" s="397"/>
      <c r="J125" s="397"/>
      <c r="K125" s="397"/>
      <c r="L125" s="397"/>
      <c r="M125" s="397"/>
      <c r="N125" s="397"/>
      <c r="O125" s="397"/>
      <c r="P125" s="397"/>
      <c r="Q125" s="397"/>
      <c r="R125" s="397"/>
      <c r="S125" s="397"/>
      <c r="T125" s="397"/>
      <c r="U125" s="397"/>
      <c r="V125" s="397"/>
      <c r="W125" s="398"/>
    </row>
    <row r="126" spans="1:23" ht="18.75" customHeight="1" x14ac:dyDescent="0.4">
      <c r="A126" s="400" t="str">
        <f>IF(E123="ゆうちょ銀行","記号番号","口座番号")</f>
        <v>口座番号</v>
      </c>
      <c r="B126" s="400"/>
      <c r="C126" s="400"/>
      <c r="D126" s="400"/>
      <c r="E126" s="396" t="str">
        <f>基本情報入力!$E$67&amp;""</f>
        <v/>
      </c>
      <c r="F126" s="397"/>
      <c r="G126" s="397"/>
      <c r="H126" s="397"/>
      <c r="I126" s="397"/>
      <c r="J126" s="397"/>
      <c r="K126" s="397"/>
      <c r="L126" s="397"/>
      <c r="M126" s="397"/>
      <c r="N126" s="397"/>
      <c r="O126" s="397"/>
      <c r="P126" s="397"/>
      <c r="Q126" s="397"/>
      <c r="R126" s="397"/>
      <c r="S126" s="397"/>
      <c r="T126" s="397"/>
      <c r="U126" s="397"/>
      <c r="V126" s="397"/>
      <c r="W126" s="398"/>
    </row>
  </sheetData>
  <sheetProtection sheet="1" objects="1" scenarios="1"/>
  <mergeCells count="202">
    <mergeCell ref="A113:D113"/>
    <mergeCell ref="E113:W113"/>
    <mergeCell ref="A114:D114"/>
    <mergeCell ref="A115:D115"/>
    <mergeCell ref="A116:D116"/>
    <mergeCell ref="A117:D117"/>
    <mergeCell ref="A118:D118"/>
    <mergeCell ref="A119:D119"/>
    <mergeCell ref="A120:D120"/>
    <mergeCell ref="E99:W99"/>
    <mergeCell ref="A100:D100"/>
    <mergeCell ref="A101:D101"/>
    <mergeCell ref="A102:D102"/>
    <mergeCell ref="A103:D103"/>
    <mergeCell ref="A104:D104"/>
    <mergeCell ref="A105:D105"/>
    <mergeCell ref="A106:D106"/>
    <mergeCell ref="E100:W100"/>
    <mergeCell ref="E101:W101"/>
    <mergeCell ref="E102:W102"/>
    <mergeCell ref="E105:W105"/>
    <mergeCell ref="E83:W83"/>
    <mergeCell ref="E84:W84"/>
    <mergeCell ref="E85:W85"/>
    <mergeCell ref="E87:W87"/>
    <mergeCell ref="E88:W88"/>
    <mergeCell ref="A95:D95"/>
    <mergeCell ref="A96:D96"/>
    <mergeCell ref="A97:D97"/>
    <mergeCell ref="A98:D98"/>
    <mergeCell ref="E96:W96"/>
    <mergeCell ref="K1:U1"/>
    <mergeCell ref="A1:J1"/>
    <mergeCell ref="A11:W15"/>
    <mergeCell ref="A3:W6"/>
    <mergeCell ref="A17:D17"/>
    <mergeCell ref="J7:O7"/>
    <mergeCell ref="J8:O8"/>
    <mergeCell ref="J9:O9"/>
    <mergeCell ref="B7:G7"/>
    <mergeCell ref="B8:G8"/>
    <mergeCell ref="B9:G9"/>
    <mergeCell ref="V1:W1"/>
    <mergeCell ref="A2:R2"/>
    <mergeCell ref="S2:W2"/>
    <mergeCell ref="A23:D23"/>
    <mergeCell ref="A24:D24"/>
    <mergeCell ref="A25:D25"/>
    <mergeCell ref="A26:D26"/>
    <mergeCell ref="A27:D27"/>
    <mergeCell ref="A18:D18"/>
    <mergeCell ref="A19:D19"/>
    <mergeCell ref="A20:D20"/>
    <mergeCell ref="A21:D21"/>
    <mergeCell ref="A22:D22"/>
    <mergeCell ref="A42:D42"/>
    <mergeCell ref="A43:D43"/>
    <mergeCell ref="A44:D44"/>
    <mergeCell ref="A45:D45"/>
    <mergeCell ref="A46:D46"/>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52:D52"/>
    <mergeCell ref="A53:D53"/>
    <mergeCell ref="A54:D54"/>
    <mergeCell ref="A55:D55"/>
    <mergeCell ref="A56:D56"/>
    <mergeCell ref="A47:D47"/>
    <mergeCell ref="A48:D48"/>
    <mergeCell ref="A49:D49"/>
    <mergeCell ref="A50:D50"/>
    <mergeCell ref="A51:D51"/>
    <mergeCell ref="A65:D65"/>
    <mergeCell ref="A66:D66"/>
    <mergeCell ref="A67:D67"/>
    <mergeCell ref="A68:D68"/>
    <mergeCell ref="A69:D69"/>
    <mergeCell ref="A57:D57"/>
    <mergeCell ref="A58:D58"/>
    <mergeCell ref="A59:D59"/>
    <mergeCell ref="A60:D60"/>
    <mergeCell ref="A61:D61"/>
    <mergeCell ref="A62:D62"/>
    <mergeCell ref="A63:D63"/>
    <mergeCell ref="A64:D64"/>
    <mergeCell ref="A75:D75"/>
    <mergeCell ref="A76:D76"/>
    <mergeCell ref="A77:D77"/>
    <mergeCell ref="A78:D78"/>
    <mergeCell ref="A79:D79"/>
    <mergeCell ref="A70:D70"/>
    <mergeCell ref="A71:D71"/>
    <mergeCell ref="A72:D72"/>
    <mergeCell ref="A73:D73"/>
    <mergeCell ref="A74:D74"/>
    <mergeCell ref="A124:D124"/>
    <mergeCell ref="A125:D125"/>
    <mergeCell ref="A90:D90"/>
    <mergeCell ref="A91:D91"/>
    <mergeCell ref="A92:D92"/>
    <mergeCell ref="A93:D93"/>
    <mergeCell ref="A94:D94"/>
    <mergeCell ref="A80:D80"/>
    <mergeCell ref="A81:D81"/>
    <mergeCell ref="A82:D82"/>
    <mergeCell ref="A83:D83"/>
    <mergeCell ref="A84:D84"/>
    <mergeCell ref="A85:D85"/>
    <mergeCell ref="A86:D86"/>
    <mergeCell ref="A87:D87"/>
    <mergeCell ref="A88:D88"/>
    <mergeCell ref="A89:D89"/>
    <mergeCell ref="A99:D99"/>
    <mergeCell ref="A107:D107"/>
    <mergeCell ref="A108:D108"/>
    <mergeCell ref="A109:D109"/>
    <mergeCell ref="A110:D110"/>
    <mergeCell ref="A111:D111"/>
    <mergeCell ref="A112:D112"/>
    <mergeCell ref="E38:W38"/>
    <mergeCell ref="E41:W41"/>
    <mergeCell ref="E42:W42"/>
    <mergeCell ref="E43:W43"/>
    <mergeCell ref="E44:W44"/>
    <mergeCell ref="A126:D126"/>
    <mergeCell ref="E17:W17"/>
    <mergeCell ref="E18:W18"/>
    <mergeCell ref="E19:W19"/>
    <mergeCell ref="E20:W20"/>
    <mergeCell ref="E23:W23"/>
    <mergeCell ref="E24:W24"/>
    <mergeCell ref="E25:W25"/>
    <mergeCell ref="E26:W26"/>
    <mergeCell ref="E29:W29"/>
    <mergeCell ref="E30:W30"/>
    <mergeCell ref="E31:W31"/>
    <mergeCell ref="E32:W32"/>
    <mergeCell ref="E35:W35"/>
    <mergeCell ref="E36:W36"/>
    <mergeCell ref="E37:W37"/>
    <mergeCell ref="A121:D121"/>
    <mergeCell ref="A122:D122"/>
    <mergeCell ref="A123:D123"/>
    <mergeCell ref="E53:W53"/>
    <mergeCell ref="E54:W54"/>
    <mergeCell ref="E55:W55"/>
    <mergeCell ref="E58:W58"/>
    <mergeCell ref="E59:W59"/>
    <mergeCell ref="E46:W46"/>
    <mergeCell ref="E47:W47"/>
    <mergeCell ref="E48:W48"/>
    <mergeCell ref="E49:W49"/>
    <mergeCell ref="E52:W52"/>
    <mergeCell ref="E78:W78"/>
    <mergeCell ref="E79:W79"/>
    <mergeCell ref="E82:W82"/>
    <mergeCell ref="E67:W67"/>
    <mergeCell ref="E70:W70"/>
    <mergeCell ref="E71:W71"/>
    <mergeCell ref="E72:W72"/>
    <mergeCell ref="E73:W73"/>
    <mergeCell ref="E60:W60"/>
    <mergeCell ref="E61:W61"/>
    <mergeCell ref="E64:W64"/>
    <mergeCell ref="E65:W65"/>
    <mergeCell ref="E66:W66"/>
    <mergeCell ref="E123:W123"/>
    <mergeCell ref="E124:W124"/>
    <mergeCell ref="E125:W125"/>
    <mergeCell ref="E126:W126"/>
    <mergeCell ref="R7:W7"/>
    <mergeCell ref="R8:W8"/>
    <mergeCell ref="R9:W9"/>
    <mergeCell ref="E114:W114"/>
    <mergeCell ref="E117:W117"/>
    <mergeCell ref="E118:W118"/>
    <mergeCell ref="E119:W119"/>
    <mergeCell ref="E120:W120"/>
    <mergeCell ref="E106:W106"/>
    <mergeCell ref="E107:W107"/>
    <mergeCell ref="E108:W108"/>
    <mergeCell ref="E111:W111"/>
    <mergeCell ref="E112:W112"/>
    <mergeCell ref="E89:W89"/>
    <mergeCell ref="E90:W90"/>
    <mergeCell ref="E93:W93"/>
    <mergeCell ref="E94:W94"/>
    <mergeCell ref="E95:W95"/>
    <mergeCell ref="E76:W76"/>
    <mergeCell ref="E77:W77"/>
  </mergeCells>
  <phoneticPr fontId="2"/>
  <pageMargins left="0.70866141732283472" right="0.70866141732283472" top="0.74803149606299213" bottom="0.74803149606299213" header="0.31496062992125984" footer="0.31496062992125984"/>
  <pageSetup paperSize="9" scale="95" fitToWidth="3" fitToHeight="0" orientation="portrait" r:id="rId1"/>
  <headerFooter differentFirst="1">
    <firstFooter>&amp;R※裏面へ続く</firstFooter>
  </headerFooter>
  <rowBreaks count="1" manualBreakCount="1">
    <brk id="38" max="2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F9DB3-D5F7-4BED-9478-ED38ED1A6497}">
  <sheetPr codeName="Sheet13"/>
  <dimension ref="A1:G93"/>
  <sheetViews>
    <sheetView view="pageBreakPreview" zoomScale="60" zoomScaleNormal="100" workbookViewId="0"/>
  </sheetViews>
  <sheetFormatPr defaultColWidth="9" defaultRowHeight="15.75" x14ac:dyDescent="0.4"/>
  <cols>
    <col min="1" max="1" width="1.25" style="5" customWidth="1"/>
    <col min="2" max="2" width="9.75" style="6" customWidth="1"/>
    <col min="3" max="3" width="36.625" style="5" customWidth="1"/>
    <col min="4" max="4" width="6.125" style="5" customWidth="1"/>
    <col min="5" max="5" width="3.5" style="5" customWidth="1"/>
    <col min="6" max="6" width="2.875" style="5" customWidth="1"/>
    <col min="7" max="7" width="29.875" style="5" customWidth="1"/>
    <col min="8" max="16384" width="9" style="5"/>
  </cols>
  <sheetData>
    <row r="1" spans="1:7" ht="33.75" customHeight="1" x14ac:dyDescent="0.4">
      <c r="A1" s="54"/>
      <c r="B1" s="54" t="s">
        <v>327</v>
      </c>
      <c r="G1" s="407" t="str">
        <f>IFERROR(VLOOKUP($B$1,送付状!$B$18:$O$28,2,FALSE),"")</f>
        <v>⑺</v>
      </c>
    </row>
    <row r="2" spans="1:7" ht="15" customHeight="1" x14ac:dyDescent="0.4">
      <c r="G2" s="407"/>
    </row>
    <row r="3" spans="1:7" ht="24.95" customHeight="1" x14ac:dyDescent="0.4">
      <c r="B3" s="55" t="s">
        <v>156</v>
      </c>
    </row>
    <row r="4" spans="1:7" ht="24.95" customHeight="1" x14ac:dyDescent="0.4">
      <c r="B4" s="56" t="s">
        <v>157</v>
      </c>
      <c r="C4" s="64" t="str">
        <f>基本情報入力!$D$23&amp;""</f>
        <v/>
      </c>
      <c r="D4" s="408" t="s">
        <v>158</v>
      </c>
      <c r="E4" s="409"/>
      <c r="F4" s="410"/>
      <c r="G4" s="414" t="str">
        <f>IF(基本情報入力!E23="","　　年　　　月　　　日",基本情報入力!$E$23)</f>
        <v>　　年　　　月　　　日</v>
      </c>
    </row>
    <row r="5" spans="1:7" ht="24.95" customHeight="1" x14ac:dyDescent="0.4">
      <c r="B5" s="416" t="s">
        <v>159</v>
      </c>
      <c r="C5" s="418" t="str">
        <f>基本情報入力!$C$23&amp;""</f>
        <v/>
      </c>
      <c r="D5" s="411"/>
      <c r="E5" s="412"/>
      <c r="F5" s="413"/>
      <c r="G5" s="415"/>
    </row>
    <row r="6" spans="1:7" ht="24.95" customHeight="1" x14ac:dyDescent="0.4">
      <c r="B6" s="417"/>
      <c r="C6" s="419"/>
      <c r="D6" s="420" t="s">
        <v>57</v>
      </c>
      <c r="E6" s="421"/>
      <c r="F6" s="422"/>
      <c r="G6" s="126" t="str">
        <f>基本情報入力!$J$23&amp;""</f>
        <v/>
      </c>
    </row>
    <row r="7" spans="1:7" ht="24.95" customHeight="1" x14ac:dyDescent="0.4">
      <c r="B7" s="423" t="s">
        <v>160</v>
      </c>
      <c r="C7" s="116" t="str">
        <f>IF(基本情報入力!$G$23=0,"〒　　　-","〒"&amp;基本情報入力!$G$23)</f>
        <v>〒　　　-</v>
      </c>
      <c r="D7" s="424" t="s">
        <v>161</v>
      </c>
      <c r="E7" s="58" t="s">
        <v>86</v>
      </c>
      <c r="F7" s="59" t="s">
        <v>162</v>
      </c>
      <c r="G7" s="60"/>
    </row>
    <row r="8" spans="1:7" ht="24.95" customHeight="1" x14ac:dyDescent="0.4">
      <c r="B8" s="423"/>
      <c r="C8" s="114" t="str">
        <f>基本情報入力!$H$23&amp;"　"&amp;基本情報入力!$I$23&amp;""</f>
        <v>　</v>
      </c>
      <c r="D8" s="425"/>
      <c r="E8" s="61" t="s">
        <v>86</v>
      </c>
      <c r="F8" s="426" t="s">
        <v>163</v>
      </c>
      <c r="G8" s="427"/>
    </row>
    <row r="9" spans="1:7" ht="24.95" customHeight="1" x14ac:dyDescent="0.4">
      <c r="B9" s="423" t="s">
        <v>6</v>
      </c>
      <c r="C9" s="428" t="str">
        <f>基本情報入力!$K$23&amp;""</f>
        <v/>
      </c>
      <c r="D9" s="424" t="s">
        <v>164</v>
      </c>
      <c r="E9" s="58" t="s">
        <v>86</v>
      </c>
      <c r="F9" s="59" t="s">
        <v>165</v>
      </c>
      <c r="G9" s="60"/>
    </row>
    <row r="10" spans="1:7" ht="24.95" customHeight="1" x14ac:dyDescent="0.4">
      <c r="B10" s="423"/>
      <c r="C10" s="428"/>
      <c r="D10" s="425"/>
      <c r="E10" s="61" t="s">
        <v>86</v>
      </c>
      <c r="F10" s="426" t="s">
        <v>163</v>
      </c>
      <c r="G10" s="427"/>
    </row>
    <row r="11" spans="1:7" ht="15" customHeight="1" x14ac:dyDescent="0.4"/>
    <row r="12" spans="1:7" ht="24.95" customHeight="1" x14ac:dyDescent="0.4">
      <c r="B12" s="55" t="s">
        <v>167</v>
      </c>
    </row>
    <row r="13" spans="1:7" ht="24.95" customHeight="1" x14ac:dyDescent="0.4">
      <c r="B13" s="56" t="s">
        <v>157</v>
      </c>
      <c r="C13" s="64" t="str">
        <f>基本情報入力!$D$24&amp;""</f>
        <v/>
      </c>
      <c r="D13" s="429" t="s">
        <v>166</v>
      </c>
      <c r="E13" s="430"/>
      <c r="F13" s="431"/>
      <c r="G13" s="233" t="str">
        <f>基本情報入力!$B$24&amp;""</f>
        <v/>
      </c>
    </row>
    <row r="14" spans="1:7" ht="20.100000000000001" customHeight="1" x14ac:dyDescent="0.4">
      <c r="B14" s="416" t="s">
        <v>159</v>
      </c>
      <c r="C14" s="418" t="str">
        <f>基本情報入力!$C$24&amp;""</f>
        <v/>
      </c>
      <c r="D14" s="408" t="s">
        <v>158</v>
      </c>
      <c r="E14" s="409"/>
      <c r="F14" s="410"/>
      <c r="G14" s="414" t="str">
        <f>IF(基本情報入力!$E$24="","　　年　　　月　　　日",基本情報入力!$E$24)</f>
        <v>　　年　　　月　　　日</v>
      </c>
    </row>
    <row r="15" spans="1:7" ht="20.100000000000001" customHeight="1" x14ac:dyDescent="0.4">
      <c r="B15" s="417"/>
      <c r="C15" s="419"/>
      <c r="D15" s="411"/>
      <c r="E15" s="412"/>
      <c r="F15" s="413"/>
      <c r="G15" s="415"/>
    </row>
    <row r="16" spans="1:7" ht="24.95" customHeight="1" x14ac:dyDescent="0.4">
      <c r="B16" s="423" t="s">
        <v>6</v>
      </c>
      <c r="C16" s="428" t="str">
        <f>基本情報入力!$K$24&amp;""</f>
        <v/>
      </c>
      <c r="D16" s="424" t="s">
        <v>164</v>
      </c>
      <c r="E16" s="58" t="s">
        <v>86</v>
      </c>
      <c r="F16" s="62" t="s">
        <v>165</v>
      </c>
      <c r="G16" s="63"/>
    </row>
    <row r="17" spans="2:7" ht="24.95" customHeight="1" x14ac:dyDescent="0.4">
      <c r="B17" s="423"/>
      <c r="C17" s="428"/>
      <c r="D17" s="425"/>
      <c r="E17" s="61" t="s">
        <v>86</v>
      </c>
      <c r="F17" s="426" t="s">
        <v>163</v>
      </c>
      <c r="G17" s="427"/>
    </row>
    <row r="18" spans="2:7" ht="15" customHeight="1" x14ac:dyDescent="0.4"/>
    <row r="19" spans="2:7" ht="24.95" customHeight="1" x14ac:dyDescent="0.4">
      <c r="B19" s="55" t="s">
        <v>32</v>
      </c>
    </row>
    <row r="20" spans="2:7" ht="24.95" customHeight="1" x14ac:dyDescent="0.4">
      <c r="B20" s="56" t="s">
        <v>157</v>
      </c>
      <c r="C20" s="64" t="str">
        <f>基本情報入力!$D$25&amp;""</f>
        <v/>
      </c>
      <c r="D20" s="429" t="s">
        <v>166</v>
      </c>
      <c r="E20" s="430"/>
      <c r="F20" s="431"/>
      <c r="G20" s="233" t="str">
        <f>基本情報入力!$B$25&amp;""</f>
        <v/>
      </c>
    </row>
    <row r="21" spans="2:7" ht="20.100000000000001" customHeight="1" x14ac:dyDescent="0.4">
      <c r="B21" s="416" t="s">
        <v>159</v>
      </c>
      <c r="C21" s="418" t="str">
        <f>基本情報入力!$C$25&amp;""</f>
        <v/>
      </c>
      <c r="D21" s="408" t="s">
        <v>158</v>
      </c>
      <c r="E21" s="409"/>
      <c r="F21" s="410"/>
      <c r="G21" s="414" t="str">
        <f>IF(基本情報入力!$E$25="","　　年　　　月　　　日",基本情報入力!$E$25)</f>
        <v>　　年　　　月　　　日</v>
      </c>
    </row>
    <row r="22" spans="2:7" ht="20.100000000000001" customHeight="1" x14ac:dyDescent="0.4">
      <c r="B22" s="417"/>
      <c r="C22" s="419"/>
      <c r="D22" s="411"/>
      <c r="E22" s="412"/>
      <c r="F22" s="413"/>
      <c r="G22" s="415"/>
    </row>
    <row r="23" spans="2:7" ht="24.95" customHeight="1" x14ac:dyDescent="0.4">
      <c r="B23" s="423" t="s">
        <v>6</v>
      </c>
      <c r="C23" s="428" t="str">
        <f>基本情報入力!$K$25&amp;""</f>
        <v/>
      </c>
      <c r="D23" s="424" t="s">
        <v>164</v>
      </c>
      <c r="E23" s="58" t="s">
        <v>86</v>
      </c>
      <c r="F23" s="62" t="s">
        <v>165</v>
      </c>
      <c r="G23" s="63"/>
    </row>
    <row r="24" spans="2:7" ht="24.95" customHeight="1" x14ac:dyDescent="0.4">
      <c r="B24" s="423"/>
      <c r="C24" s="428"/>
      <c r="D24" s="425"/>
      <c r="E24" s="61" t="s">
        <v>86</v>
      </c>
      <c r="F24" s="426" t="s">
        <v>163</v>
      </c>
      <c r="G24" s="427"/>
    </row>
    <row r="25" spans="2:7" ht="15" customHeight="1" x14ac:dyDescent="0.4"/>
    <row r="26" spans="2:7" ht="24.95" customHeight="1" x14ac:dyDescent="0.4">
      <c r="B26" s="55" t="s">
        <v>34</v>
      </c>
    </row>
    <row r="27" spans="2:7" ht="24.95" customHeight="1" x14ac:dyDescent="0.4">
      <c r="B27" s="56" t="s">
        <v>157</v>
      </c>
      <c r="C27" s="64" t="str">
        <f>基本情報入力!$D$26&amp;""</f>
        <v/>
      </c>
      <c r="D27" s="429" t="s">
        <v>166</v>
      </c>
      <c r="E27" s="430"/>
      <c r="F27" s="431"/>
      <c r="G27" s="233" t="str">
        <f>基本情報入力!$B$26&amp;""</f>
        <v/>
      </c>
    </row>
    <row r="28" spans="2:7" ht="20.100000000000001" customHeight="1" x14ac:dyDescent="0.4">
      <c r="B28" s="416" t="s">
        <v>159</v>
      </c>
      <c r="C28" s="418" t="str">
        <f>基本情報入力!$C$26&amp;""</f>
        <v/>
      </c>
      <c r="D28" s="408" t="s">
        <v>158</v>
      </c>
      <c r="E28" s="409"/>
      <c r="F28" s="410"/>
      <c r="G28" s="414" t="str">
        <f>IF(基本情報入力!$E$26="","　　年　　　月　　　日",基本情報入力!$E$26)</f>
        <v>　　年　　　月　　　日</v>
      </c>
    </row>
    <row r="29" spans="2:7" ht="20.100000000000001" customHeight="1" x14ac:dyDescent="0.4">
      <c r="B29" s="417"/>
      <c r="C29" s="419"/>
      <c r="D29" s="411"/>
      <c r="E29" s="412"/>
      <c r="F29" s="413"/>
      <c r="G29" s="415"/>
    </row>
    <row r="30" spans="2:7" ht="24.95" customHeight="1" x14ac:dyDescent="0.4">
      <c r="B30" s="423" t="s">
        <v>6</v>
      </c>
      <c r="C30" s="428" t="str">
        <f>基本情報入力!$K$26&amp;""</f>
        <v/>
      </c>
      <c r="D30" s="424" t="s">
        <v>164</v>
      </c>
      <c r="E30" s="58" t="s">
        <v>86</v>
      </c>
      <c r="F30" s="62" t="s">
        <v>165</v>
      </c>
      <c r="G30" s="63"/>
    </row>
    <row r="31" spans="2:7" ht="24.95" customHeight="1" x14ac:dyDescent="0.4">
      <c r="B31" s="423"/>
      <c r="C31" s="428"/>
      <c r="D31" s="425"/>
      <c r="E31" s="61" t="s">
        <v>86</v>
      </c>
      <c r="F31" s="426" t="s">
        <v>163</v>
      </c>
      <c r="G31" s="427"/>
    </row>
    <row r="32" spans="2:7" ht="24.95" customHeight="1" x14ac:dyDescent="0.4">
      <c r="B32" s="55" t="s">
        <v>35</v>
      </c>
    </row>
    <row r="33" spans="2:7" ht="24.95" customHeight="1" x14ac:dyDescent="0.4">
      <c r="B33" s="56" t="s">
        <v>157</v>
      </c>
      <c r="C33" s="64" t="str">
        <f>基本情報入力!$D$27&amp;""</f>
        <v/>
      </c>
      <c r="D33" s="429" t="s">
        <v>166</v>
      </c>
      <c r="E33" s="430"/>
      <c r="F33" s="431"/>
      <c r="G33" s="233" t="str">
        <f>基本情報入力!$B$27&amp;""</f>
        <v/>
      </c>
    </row>
    <row r="34" spans="2:7" ht="20.100000000000001" customHeight="1" x14ac:dyDescent="0.4">
      <c r="B34" s="416" t="s">
        <v>159</v>
      </c>
      <c r="C34" s="418" t="str">
        <f>基本情報入力!$C$27&amp;""</f>
        <v/>
      </c>
      <c r="D34" s="408" t="s">
        <v>158</v>
      </c>
      <c r="E34" s="409"/>
      <c r="F34" s="410"/>
      <c r="G34" s="414" t="str">
        <f>IF(基本情報入力!$E$27="","　　年　　　月　　　日",基本情報入力!$E$27)</f>
        <v>　　年　　　月　　　日</v>
      </c>
    </row>
    <row r="35" spans="2:7" ht="20.100000000000001" customHeight="1" x14ac:dyDescent="0.4">
      <c r="B35" s="417"/>
      <c r="C35" s="419"/>
      <c r="D35" s="411"/>
      <c r="E35" s="412"/>
      <c r="F35" s="413"/>
      <c r="G35" s="415"/>
    </row>
    <row r="36" spans="2:7" ht="24.95" customHeight="1" x14ac:dyDescent="0.4">
      <c r="B36" s="423" t="s">
        <v>6</v>
      </c>
      <c r="C36" s="428" t="str">
        <f>基本情報入力!$K$27&amp;""</f>
        <v/>
      </c>
      <c r="D36" s="424" t="s">
        <v>164</v>
      </c>
      <c r="E36" s="58" t="s">
        <v>86</v>
      </c>
      <c r="F36" s="62" t="s">
        <v>165</v>
      </c>
      <c r="G36" s="63"/>
    </row>
    <row r="37" spans="2:7" ht="24.95" customHeight="1" x14ac:dyDescent="0.4">
      <c r="B37" s="423"/>
      <c r="C37" s="428"/>
      <c r="D37" s="425"/>
      <c r="E37" s="61" t="s">
        <v>86</v>
      </c>
      <c r="F37" s="426" t="s">
        <v>163</v>
      </c>
      <c r="G37" s="427"/>
    </row>
    <row r="38" spans="2:7" ht="9" customHeight="1" x14ac:dyDescent="0.4"/>
    <row r="39" spans="2:7" ht="24.95" customHeight="1" x14ac:dyDescent="0.4">
      <c r="B39" s="55" t="s">
        <v>36</v>
      </c>
    </row>
    <row r="40" spans="2:7" ht="24.95" customHeight="1" x14ac:dyDescent="0.4">
      <c r="B40" s="56" t="s">
        <v>157</v>
      </c>
      <c r="C40" s="64" t="str">
        <f>基本情報入力!$D$28&amp;""</f>
        <v/>
      </c>
      <c r="D40" s="429" t="s">
        <v>166</v>
      </c>
      <c r="E40" s="430"/>
      <c r="F40" s="431"/>
      <c r="G40" s="233" t="str">
        <f>基本情報入力!$B$28&amp;""</f>
        <v/>
      </c>
    </row>
    <row r="41" spans="2:7" ht="20.100000000000001" customHeight="1" x14ac:dyDescent="0.4">
      <c r="B41" s="416" t="s">
        <v>159</v>
      </c>
      <c r="C41" s="418" t="str">
        <f>基本情報入力!$C$28&amp;""</f>
        <v/>
      </c>
      <c r="D41" s="408" t="s">
        <v>158</v>
      </c>
      <c r="E41" s="409"/>
      <c r="F41" s="410"/>
      <c r="G41" s="414" t="str">
        <f>IF(基本情報入力!$E$28="","　　年　　　月　　　日",基本情報入力!$E$28)</f>
        <v>　　年　　　月　　　日</v>
      </c>
    </row>
    <row r="42" spans="2:7" ht="20.100000000000001" customHeight="1" x14ac:dyDescent="0.4">
      <c r="B42" s="417"/>
      <c r="C42" s="419"/>
      <c r="D42" s="411"/>
      <c r="E42" s="412"/>
      <c r="F42" s="413"/>
      <c r="G42" s="415"/>
    </row>
    <row r="43" spans="2:7" ht="24.95" customHeight="1" x14ac:dyDescent="0.4">
      <c r="B43" s="423" t="s">
        <v>6</v>
      </c>
      <c r="C43" s="428" t="str">
        <f>基本情報入力!$K$28&amp;""</f>
        <v/>
      </c>
      <c r="D43" s="424" t="s">
        <v>164</v>
      </c>
      <c r="E43" s="58" t="s">
        <v>86</v>
      </c>
      <c r="F43" s="62" t="s">
        <v>165</v>
      </c>
      <c r="G43" s="63"/>
    </row>
    <row r="44" spans="2:7" ht="24.95" customHeight="1" x14ac:dyDescent="0.4">
      <c r="B44" s="423"/>
      <c r="C44" s="428"/>
      <c r="D44" s="425"/>
      <c r="E44" s="61" t="s">
        <v>86</v>
      </c>
      <c r="F44" s="426" t="s">
        <v>163</v>
      </c>
      <c r="G44" s="427"/>
    </row>
    <row r="45" spans="2:7" ht="9" customHeight="1" x14ac:dyDescent="0.4"/>
    <row r="46" spans="2:7" ht="24.95" customHeight="1" x14ac:dyDescent="0.4">
      <c r="B46" s="55" t="s">
        <v>37</v>
      </c>
    </row>
    <row r="47" spans="2:7" ht="24.95" customHeight="1" x14ac:dyDescent="0.4">
      <c r="B47" s="56" t="s">
        <v>157</v>
      </c>
      <c r="C47" s="64" t="str">
        <f>基本情報入力!$D$29&amp;""</f>
        <v/>
      </c>
      <c r="D47" s="429" t="s">
        <v>166</v>
      </c>
      <c r="E47" s="430"/>
      <c r="F47" s="431"/>
      <c r="G47" s="233" t="str">
        <f>基本情報入力!$B$29&amp;""</f>
        <v/>
      </c>
    </row>
    <row r="48" spans="2:7" ht="20.100000000000001" customHeight="1" x14ac:dyDescent="0.4">
      <c r="B48" s="416" t="s">
        <v>159</v>
      </c>
      <c r="C48" s="418" t="str">
        <f>基本情報入力!$C$29&amp;""</f>
        <v/>
      </c>
      <c r="D48" s="408" t="s">
        <v>158</v>
      </c>
      <c r="E48" s="409"/>
      <c r="F48" s="410"/>
      <c r="G48" s="414" t="str">
        <f>IF(基本情報入力!$E$29="","　　年　　　月　　　日",基本情報入力!$E$29)</f>
        <v>　　年　　　月　　　日</v>
      </c>
    </row>
    <row r="49" spans="2:7" ht="20.100000000000001" customHeight="1" x14ac:dyDescent="0.4">
      <c r="B49" s="417"/>
      <c r="C49" s="419"/>
      <c r="D49" s="411"/>
      <c r="E49" s="412"/>
      <c r="F49" s="413"/>
      <c r="G49" s="415"/>
    </row>
    <row r="50" spans="2:7" ht="24.95" customHeight="1" x14ac:dyDescent="0.4">
      <c r="B50" s="423" t="s">
        <v>6</v>
      </c>
      <c r="C50" s="428" t="str">
        <f>基本情報入力!$K$29&amp;""</f>
        <v/>
      </c>
      <c r="D50" s="424" t="s">
        <v>164</v>
      </c>
      <c r="E50" s="58" t="s">
        <v>86</v>
      </c>
      <c r="F50" s="62" t="s">
        <v>165</v>
      </c>
      <c r="G50" s="63"/>
    </row>
    <row r="51" spans="2:7" ht="24.95" customHeight="1" x14ac:dyDescent="0.4">
      <c r="B51" s="423"/>
      <c r="C51" s="428"/>
      <c r="D51" s="425"/>
      <c r="E51" s="61" t="s">
        <v>86</v>
      </c>
      <c r="F51" s="426" t="s">
        <v>163</v>
      </c>
      <c r="G51" s="427"/>
    </row>
    <row r="52" spans="2:7" ht="9" customHeight="1" x14ac:dyDescent="0.4"/>
    <row r="53" spans="2:7" ht="24.95" customHeight="1" x14ac:dyDescent="0.4">
      <c r="B53" s="55" t="s">
        <v>38</v>
      </c>
    </row>
    <row r="54" spans="2:7" ht="24.95" customHeight="1" x14ac:dyDescent="0.4">
      <c r="B54" s="56" t="s">
        <v>157</v>
      </c>
      <c r="C54" s="64" t="str">
        <f>基本情報入力!$D$30&amp;""</f>
        <v/>
      </c>
      <c r="D54" s="429" t="s">
        <v>166</v>
      </c>
      <c r="E54" s="430"/>
      <c r="F54" s="431"/>
      <c r="G54" s="233" t="str">
        <f>基本情報入力!$B$30&amp;""</f>
        <v/>
      </c>
    </row>
    <row r="55" spans="2:7" ht="20.100000000000001" customHeight="1" x14ac:dyDescent="0.4">
      <c r="B55" s="416" t="s">
        <v>159</v>
      </c>
      <c r="C55" s="418" t="str">
        <f>基本情報入力!$C$30&amp;""</f>
        <v/>
      </c>
      <c r="D55" s="408" t="s">
        <v>158</v>
      </c>
      <c r="E55" s="409"/>
      <c r="F55" s="410"/>
      <c r="G55" s="414" t="str">
        <f>IF(基本情報入力!$E$30="","　　年　　　月　　　日",基本情報入力!$E$30)</f>
        <v>　　年　　　月　　　日</v>
      </c>
    </row>
    <row r="56" spans="2:7" ht="20.100000000000001" customHeight="1" x14ac:dyDescent="0.4">
      <c r="B56" s="417"/>
      <c r="C56" s="419"/>
      <c r="D56" s="411"/>
      <c r="E56" s="412"/>
      <c r="F56" s="413"/>
      <c r="G56" s="415"/>
    </row>
    <row r="57" spans="2:7" ht="24.95" customHeight="1" x14ac:dyDescent="0.4">
      <c r="B57" s="423" t="s">
        <v>6</v>
      </c>
      <c r="C57" s="428" t="str">
        <f>基本情報入力!$K$30&amp;""</f>
        <v/>
      </c>
      <c r="D57" s="424" t="s">
        <v>164</v>
      </c>
      <c r="E57" s="58" t="s">
        <v>86</v>
      </c>
      <c r="F57" s="62" t="s">
        <v>165</v>
      </c>
      <c r="G57" s="63"/>
    </row>
    <row r="58" spans="2:7" ht="24.95" customHeight="1" x14ac:dyDescent="0.4">
      <c r="B58" s="423"/>
      <c r="C58" s="428"/>
      <c r="D58" s="425"/>
      <c r="E58" s="61" t="s">
        <v>86</v>
      </c>
      <c r="F58" s="426" t="s">
        <v>163</v>
      </c>
      <c r="G58" s="427"/>
    </row>
    <row r="59" spans="2:7" ht="9" customHeight="1" x14ac:dyDescent="0.4"/>
    <row r="60" spans="2:7" ht="24.95" customHeight="1" x14ac:dyDescent="0.4">
      <c r="B60" s="55" t="s">
        <v>39</v>
      </c>
    </row>
    <row r="61" spans="2:7" ht="24.95" customHeight="1" x14ac:dyDescent="0.4">
      <c r="B61" s="56" t="s">
        <v>157</v>
      </c>
      <c r="C61" s="64" t="str">
        <f>基本情報入力!$D$31&amp;""</f>
        <v/>
      </c>
      <c r="D61" s="429" t="s">
        <v>166</v>
      </c>
      <c r="E61" s="430"/>
      <c r="F61" s="431"/>
      <c r="G61" s="233" t="str">
        <f>基本情報入力!$B$31&amp;""</f>
        <v/>
      </c>
    </row>
    <row r="62" spans="2:7" ht="20.100000000000001" customHeight="1" x14ac:dyDescent="0.4">
      <c r="B62" s="416" t="s">
        <v>159</v>
      </c>
      <c r="C62" s="418" t="str">
        <f>基本情報入力!$C$31&amp;""</f>
        <v/>
      </c>
      <c r="D62" s="408" t="s">
        <v>158</v>
      </c>
      <c r="E62" s="409"/>
      <c r="F62" s="410"/>
      <c r="G62" s="414" t="str">
        <f>IF(基本情報入力!$E$31="","　　年　　　月　　　日",基本情報入力!$E$31)</f>
        <v>　　年　　　月　　　日</v>
      </c>
    </row>
    <row r="63" spans="2:7" ht="20.100000000000001" customHeight="1" x14ac:dyDescent="0.4">
      <c r="B63" s="417"/>
      <c r="C63" s="419"/>
      <c r="D63" s="411"/>
      <c r="E63" s="412"/>
      <c r="F63" s="413"/>
      <c r="G63" s="415"/>
    </row>
    <row r="64" spans="2:7" ht="24.95" customHeight="1" x14ac:dyDescent="0.4">
      <c r="B64" s="423" t="s">
        <v>6</v>
      </c>
      <c r="C64" s="428" t="str">
        <f>基本情報入力!$K$31&amp;""</f>
        <v/>
      </c>
      <c r="D64" s="424" t="s">
        <v>164</v>
      </c>
      <c r="E64" s="58" t="s">
        <v>86</v>
      </c>
      <c r="F64" s="62" t="s">
        <v>165</v>
      </c>
      <c r="G64" s="63"/>
    </row>
    <row r="65" spans="2:7" ht="24.95" customHeight="1" x14ac:dyDescent="0.4">
      <c r="B65" s="423"/>
      <c r="C65" s="428"/>
      <c r="D65" s="425"/>
      <c r="E65" s="61" t="s">
        <v>86</v>
      </c>
      <c r="F65" s="426" t="s">
        <v>163</v>
      </c>
      <c r="G65" s="427"/>
    </row>
    <row r="66" spans="2:7" ht="9" customHeight="1" x14ac:dyDescent="0.4"/>
    <row r="67" spans="2:7" ht="24.95" customHeight="1" x14ac:dyDescent="0.4">
      <c r="B67" s="55" t="s">
        <v>168</v>
      </c>
    </row>
    <row r="68" spans="2:7" ht="24.95" customHeight="1" x14ac:dyDescent="0.4">
      <c r="B68" s="56" t="s">
        <v>157</v>
      </c>
      <c r="C68" s="64" t="str">
        <f>基本情報入力!$D$32&amp;""</f>
        <v/>
      </c>
      <c r="D68" s="429" t="s">
        <v>166</v>
      </c>
      <c r="E68" s="430"/>
      <c r="F68" s="431"/>
      <c r="G68" s="233" t="str">
        <f>基本情報入力!$B$32&amp;""</f>
        <v/>
      </c>
    </row>
    <row r="69" spans="2:7" ht="20.100000000000001" customHeight="1" x14ac:dyDescent="0.4">
      <c r="B69" s="416" t="s">
        <v>159</v>
      </c>
      <c r="C69" s="418" t="str">
        <f>基本情報入力!$C$32&amp;""</f>
        <v/>
      </c>
      <c r="D69" s="408" t="s">
        <v>158</v>
      </c>
      <c r="E69" s="409"/>
      <c r="F69" s="410"/>
      <c r="G69" s="414" t="str">
        <f>IF(基本情報入力!$E$32="","　　年　　　月　　　日",基本情報入力!$E$32)</f>
        <v>　　年　　　月　　　日</v>
      </c>
    </row>
    <row r="70" spans="2:7" ht="20.100000000000001" customHeight="1" x14ac:dyDescent="0.4">
      <c r="B70" s="417"/>
      <c r="C70" s="419"/>
      <c r="D70" s="411"/>
      <c r="E70" s="412"/>
      <c r="F70" s="413"/>
      <c r="G70" s="415"/>
    </row>
    <row r="71" spans="2:7" ht="24.95" customHeight="1" x14ac:dyDescent="0.4">
      <c r="B71" s="423" t="s">
        <v>6</v>
      </c>
      <c r="C71" s="428" t="str">
        <f>基本情報入力!$K$32&amp;""</f>
        <v/>
      </c>
      <c r="D71" s="424" t="s">
        <v>164</v>
      </c>
      <c r="E71" s="58" t="s">
        <v>86</v>
      </c>
      <c r="F71" s="62" t="s">
        <v>165</v>
      </c>
      <c r="G71" s="63"/>
    </row>
    <row r="72" spans="2:7" ht="24.95" customHeight="1" x14ac:dyDescent="0.4">
      <c r="B72" s="423"/>
      <c r="C72" s="428"/>
      <c r="D72" s="425"/>
      <c r="E72" s="61" t="s">
        <v>86</v>
      </c>
      <c r="F72" s="426" t="s">
        <v>163</v>
      </c>
      <c r="G72" s="427"/>
    </row>
    <row r="73" spans="2:7" ht="9" customHeight="1" x14ac:dyDescent="0.4"/>
    <row r="74" spans="2:7" ht="24.95" customHeight="1" x14ac:dyDescent="0.4">
      <c r="B74" s="55" t="s">
        <v>169</v>
      </c>
    </row>
    <row r="75" spans="2:7" ht="24.95" customHeight="1" x14ac:dyDescent="0.4">
      <c r="B75" s="56" t="s">
        <v>157</v>
      </c>
      <c r="C75" s="64" t="str">
        <f>基本情報入力!$D$33&amp;""</f>
        <v/>
      </c>
      <c r="D75" s="429" t="s">
        <v>166</v>
      </c>
      <c r="E75" s="430"/>
      <c r="F75" s="431"/>
      <c r="G75" s="233" t="str">
        <f>基本情報入力!$B$33&amp;""</f>
        <v/>
      </c>
    </row>
    <row r="76" spans="2:7" ht="20.100000000000001" customHeight="1" x14ac:dyDescent="0.4">
      <c r="B76" s="416" t="s">
        <v>159</v>
      </c>
      <c r="C76" s="418" t="str">
        <f>基本情報入力!$C$33&amp;""</f>
        <v/>
      </c>
      <c r="D76" s="408" t="s">
        <v>158</v>
      </c>
      <c r="E76" s="409"/>
      <c r="F76" s="410"/>
      <c r="G76" s="414" t="str">
        <f>IF(基本情報入力!$E$33="","　　年　　　月　　　日",基本情報入力!$E$33)</f>
        <v>　　年　　　月　　　日</v>
      </c>
    </row>
    <row r="77" spans="2:7" ht="20.100000000000001" customHeight="1" x14ac:dyDescent="0.4">
      <c r="B77" s="417"/>
      <c r="C77" s="419"/>
      <c r="D77" s="411"/>
      <c r="E77" s="412"/>
      <c r="F77" s="413"/>
      <c r="G77" s="415"/>
    </row>
    <row r="78" spans="2:7" ht="24.95" customHeight="1" x14ac:dyDescent="0.4">
      <c r="B78" s="423" t="s">
        <v>6</v>
      </c>
      <c r="C78" s="428" t="str">
        <f>基本情報入力!$K$33&amp;""</f>
        <v/>
      </c>
      <c r="D78" s="424" t="s">
        <v>164</v>
      </c>
      <c r="E78" s="58" t="s">
        <v>86</v>
      </c>
      <c r="F78" s="62" t="s">
        <v>165</v>
      </c>
      <c r="G78" s="63"/>
    </row>
    <row r="79" spans="2:7" ht="24.95" customHeight="1" x14ac:dyDescent="0.4">
      <c r="B79" s="423"/>
      <c r="C79" s="428"/>
      <c r="D79" s="425"/>
      <c r="E79" s="61" t="s">
        <v>86</v>
      </c>
      <c r="F79" s="426" t="s">
        <v>163</v>
      </c>
      <c r="G79" s="427"/>
    </row>
    <row r="80" spans="2:7" ht="9" customHeight="1" x14ac:dyDescent="0.4"/>
    <row r="81" spans="2:7" ht="24.95" customHeight="1" x14ac:dyDescent="0.4">
      <c r="B81" s="55" t="s">
        <v>170</v>
      </c>
    </row>
    <row r="82" spans="2:7" ht="24.95" customHeight="1" x14ac:dyDescent="0.4">
      <c r="B82" s="56" t="s">
        <v>157</v>
      </c>
      <c r="C82" s="64" t="str">
        <f>基本情報入力!$D$34&amp;""</f>
        <v/>
      </c>
      <c r="D82" s="429" t="s">
        <v>166</v>
      </c>
      <c r="E82" s="430"/>
      <c r="F82" s="431"/>
      <c r="G82" s="233" t="str">
        <f>基本情報入力!$B$34&amp;""</f>
        <v/>
      </c>
    </row>
    <row r="83" spans="2:7" ht="20.100000000000001" customHeight="1" x14ac:dyDescent="0.4">
      <c r="B83" s="416" t="s">
        <v>159</v>
      </c>
      <c r="C83" s="418" t="str">
        <f>基本情報入力!$C$34&amp;""</f>
        <v/>
      </c>
      <c r="D83" s="408" t="s">
        <v>158</v>
      </c>
      <c r="E83" s="409"/>
      <c r="F83" s="410"/>
      <c r="G83" s="414" t="str">
        <f>IF(基本情報入力!$E$34="","　　年　　　月　　　日",基本情報入力!$E$34)</f>
        <v>　　年　　　月　　　日</v>
      </c>
    </row>
    <row r="84" spans="2:7" ht="20.100000000000001" customHeight="1" x14ac:dyDescent="0.4">
      <c r="B84" s="417"/>
      <c r="C84" s="419"/>
      <c r="D84" s="411"/>
      <c r="E84" s="412"/>
      <c r="F84" s="413"/>
      <c r="G84" s="415"/>
    </row>
    <row r="85" spans="2:7" ht="24.95" customHeight="1" x14ac:dyDescent="0.4">
      <c r="B85" s="423" t="s">
        <v>6</v>
      </c>
      <c r="C85" s="428" t="str">
        <f>基本情報入力!$K$34&amp;""</f>
        <v/>
      </c>
      <c r="D85" s="424" t="s">
        <v>164</v>
      </c>
      <c r="E85" s="58" t="s">
        <v>86</v>
      </c>
      <c r="F85" s="62" t="s">
        <v>165</v>
      </c>
      <c r="G85" s="63"/>
    </row>
    <row r="86" spans="2:7" ht="24.95" customHeight="1" x14ac:dyDescent="0.4">
      <c r="B86" s="423"/>
      <c r="C86" s="428"/>
      <c r="D86" s="425"/>
      <c r="E86" s="61" t="s">
        <v>86</v>
      </c>
      <c r="F86" s="426" t="s">
        <v>163</v>
      </c>
      <c r="G86" s="427"/>
    </row>
    <row r="87" spans="2:7" ht="9" customHeight="1" x14ac:dyDescent="0.4"/>
    <row r="88" spans="2:7" ht="24.95" customHeight="1" x14ac:dyDescent="0.4">
      <c r="B88" s="55" t="s">
        <v>171</v>
      </c>
    </row>
    <row r="89" spans="2:7" ht="24.95" customHeight="1" x14ac:dyDescent="0.4">
      <c r="B89" s="56" t="s">
        <v>157</v>
      </c>
      <c r="C89" s="64" t="str">
        <f>基本情報入力!$D$35&amp;""</f>
        <v/>
      </c>
      <c r="D89" s="429" t="s">
        <v>166</v>
      </c>
      <c r="E89" s="430"/>
      <c r="F89" s="431"/>
      <c r="G89" s="233" t="str">
        <f>基本情報入力!$B$35&amp;""</f>
        <v/>
      </c>
    </row>
    <row r="90" spans="2:7" ht="20.100000000000001" customHeight="1" x14ac:dyDescent="0.4">
      <c r="B90" s="416" t="s">
        <v>159</v>
      </c>
      <c r="C90" s="418" t="str">
        <f>基本情報入力!$C$35&amp;""</f>
        <v/>
      </c>
      <c r="D90" s="408" t="s">
        <v>158</v>
      </c>
      <c r="E90" s="409"/>
      <c r="F90" s="410"/>
      <c r="G90" s="414" t="str">
        <f>IF(基本情報入力!$E$35="","　　年　　　月　　　日",基本情報入力!$E$35)</f>
        <v>　　年　　　月　　　日</v>
      </c>
    </row>
    <row r="91" spans="2:7" ht="20.100000000000001" customHeight="1" x14ac:dyDescent="0.4">
      <c r="B91" s="417"/>
      <c r="C91" s="419"/>
      <c r="D91" s="411"/>
      <c r="E91" s="412"/>
      <c r="F91" s="413"/>
      <c r="G91" s="415"/>
    </row>
    <row r="92" spans="2:7" ht="24.95" customHeight="1" x14ac:dyDescent="0.4">
      <c r="B92" s="423" t="s">
        <v>6</v>
      </c>
      <c r="C92" s="428" t="str">
        <f>基本情報入力!$K$35&amp;""</f>
        <v/>
      </c>
      <c r="D92" s="424" t="s">
        <v>164</v>
      </c>
      <c r="E92" s="58" t="s">
        <v>86</v>
      </c>
      <c r="F92" s="62" t="s">
        <v>165</v>
      </c>
      <c r="G92" s="63"/>
    </row>
    <row r="93" spans="2:7" ht="24.95" customHeight="1" x14ac:dyDescent="0.4">
      <c r="B93" s="423"/>
      <c r="C93" s="428"/>
      <c r="D93" s="425"/>
      <c r="E93" s="61" t="s">
        <v>86</v>
      </c>
      <c r="F93" s="426" t="s">
        <v>163</v>
      </c>
      <c r="G93" s="427"/>
    </row>
  </sheetData>
  <sheetProtection sheet="1" objects="1" scenarios="1"/>
  <mergeCells count="121">
    <mergeCell ref="D89:F89"/>
    <mergeCell ref="B90:B91"/>
    <mergeCell ref="C90:C91"/>
    <mergeCell ref="D90:F91"/>
    <mergeCell ref="G90:G91"/>
    <mergeCell ref="B92:B93"/>
    <mergeCell ref="C92:C93"/>
    <mergeCell ref="D92:D93"/>
    <mergeCell ref="F93:G93"/>
    <mergeCell ref="D82:F82"/>
    <mergeCell ref="B83:B84"/>
    <mergeCell ref="C83:C84"/>
    <mergeCell ref="D83:F84"/>
    <mergeCell ref="G83:G84"/>
    <mergeCell ref="B85:B86"/>
    <mergeCell ref="C85:C86"/>
    <mergeCell ref="D85:D86"/>
    <mergeCell ref="F86:G86"/>
    <mergeCell ref="D75:F75"/>
    <mergeCell ref="B76:B77"/>
    <mergeCell ref="C76:C77"/>
    <mergeCell ref="D76:F77"/>
    <mergeCell ref="G76:G77"/>
    <mergeCell ref="B78:B79"/>
    <mergeCell ref="C78:C79"/>
    <mergeCell ref="D78:D79"/>
    <mergeCell ref="F79:G79"/>
    <mergeCell ref="D68:F68"/>
    <mergeCell ref="B69:B70"/>
    <mergeCell ref="C69:C70"/>
    <mergeCell ref="D69:F70"/>
    <mergeCell ref="G69:G70"/>
    <mergeCell ref="B71:B72"/>
    <mergeCell ref="C71:C72"/>
    <mergeCell ref="D71:D72"/>
    <mergeCell ref="F72:G72"/>
    <mergeCell ref="B64:B65"/>
    <mergeCell ref="C64:C65"/>
    <mergeCell ref="D64:D65"/>
    <mergeCell ref="F65:G65"/>
    <mergeCell ref="B57:B58"/>
    <mergeCell ref="C57:C58"/>
    <mergeCell ref="D57:D58"/>
    <mergeCell ref="F58:G58"/>
    <mergeCell ref="D61:F61"/>
    <mergeCell ref="B62:B63"/>
    <mergeCell ref="C62:C63"/>
    <mergeCell ref="D62:F63"/>
    <mergeCell ref="G62:G63"/>
    <mergeCell ref="D54:F54"/>
    <mergeCell ref="B55:B56"/>
    <mergeCell ref="C55:C56"/>
    <mergeCell ref="D55:F56"/>
    <mergeCell ref="G55:G56"/>
    <mergeCell ref="B50:B51"/>
    <mergeCell ref="C50:C51"/>
    <mergeCell ref="D50:D51"/>
    <mergeCell ref="F51:G51"/>
    <mergeCell ref="B43:B44"/>
    <mergeCell ref="C43:C44"/>
    <mergeCell ref="D43:D44"/>
    <mergeCell ref="F44:G44"/>
    <mergeCell ref="D47:F47"/>
    <mergeCell ref="B48:B49"/>
    <mergeCell ref="C48:C49"/>
    <mergeCell ref="D48:F49"/>
    <mergeCell ref="G48:G49"/>
    <mergeCell ref="B36:B37"/>
    <mergeCell ref="C36:C37"/>
    <mergeCell ref="D36:D37"/>
    <mergeCell ref="F37:G37"/>
    <mergeCell ref="D40:F40"/>
    <mergeCell ref="B41:B42"/>
    <mergeCell ref="C41:C42"/>
    <mergeCell ref="D41:F42"/>
    <mergeCell ref="G41:G42"/>
    <mergeCell ref="B30:B31"/>
    <mergeCell ref="C30:C31"/>
    <mergeCell ref="D30:D31"/>
    <mergeCell ref="F31:G31"/>
    <mergeCell ref="D33:F33"/>
    <mergeCell ref="B34:B35"/>
    <mergeCell ref="C34:C35"/>
    <mergeCell ref="D34:F35"/>
    <mergeCell ref="G34:G35"/>
    <mergeCell ref="B23:B24"/>
    <mergeCell ref="C23:C24"/>
    <mergeCell ref="D23:D24"/>
    <mergeCell ref="F24:G24"/>
    <mergeCell ref="D27:F27"/>
    <mergeCell ref="B28:B29"/>
    <mergeCell ref="C28:C29"/>
    <mergeCell ref="D28:F29"/>
    <mergeCell ref="G28:G29"/>
    <mergeCell ref="B16:B17"/>
    <mergeCell ref="C16:C17"/>
    <mergeCell ref="D16:D17"/>
    <mergeCell ref="F17:G17"/>
    <mergeCell ref="D20:F20"/>
    <mergeCell ref="B21:B22"/>
    <mergeCell ref="C21:C22"/>
    <mergeCell ref="D21:F22"/>
    <mergeCell ref="G21:G22"/>
    <mergeCell ref="B9:B10"/>
    <mergeCell ref="C9:C10"/>
    <mergeCell ref="D9:D10"/>
    <mergeCell ref="F10:G10"/>
    <mergeCell ref="D13:F13"/>
    <mergeCell ref="B14:B15"/>
    <mergeCell ref="C14:C15"/>
    <mergeCell ref="D14:F15"/>
    <mergeCell ref="G14:G15"/>
    <mergeCell ref="G1:G2"/>
    <mergeCell ref="D4:F5"/>
    <mergeCell ref="G4:G5"/>
    <mergeCell ref="B5:B6"/>
    <mergeCell ref="C5:C6"/>
    <mergeCell ref="D6:F6"/>
    <mergeCell ref="B7:B8"/>
    <mergeCell ref="D7:D8"/>
    <mergeCell ref="F8:G8"/>
  </mergeCells>
  <phoneticPr fontId="2"/>
  <printOptions horizontalCentered="1"/>
  <pageMargins left="0.23622047244094491" right="0.23622047244094491" top="0.74803149606299213" bottom="0.74803149606299213" header="0.31496062992125984" footer="0.31496062992125984"/>
  <pageSetup paperSize="9" scale="86" orientation="portrait" r:id="rId1"/>
  <rowBreaks count="2" manualBreakCount="2">
    <brk id="38" max="6" man="1"/>
    <brk id="73" max="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58EF1-1380-4F00-8949-E16EED6D4357}">
  <sheetPr codeName="Sheet14"/>
  <dimension ref="A1:G117"/>
  <sheetViews>
    <sheetView view="pageBreakPreview" zoomScale="60" zoomScaleNormal="100" workbookViewId="0"/>
  </sheetViews>
  <sheetFormatPr defaultColWidth="9" defaultRowHeight="15.75" x14ac:dyDescent="0.4"/>
  <cols>
    <col min="1" max="1" width="1.25" style="5" customWidth="1"/>
    <col min="2" max="2" width="9.75" style="6" customWidth="1"/>
    <col min="3" max="3" width="36.625" style="5" customWidth="1"/>
    <col min="4" max="4" width="6.125" style="5" customWidth="1"/>
    <col min="5" max="5" width="3.5" style="5" customWidth="1"/>
    <col min="6" max="6" width="2.875" style="5" customWidth="1"/>
    <col min="7" max="7" width="29.875" style="5" customWidth="1"/>
    <col min="8" max="16384" width="9" style="5"/>
  </cols>
  <sheetData>
    <row r="1" spans="1:7" ht="28.5" customHeight="1" x14ac:dyDescent="0.4">
      <c r="A1" s="54"/>
      <c r="B1" s="54" t="s">
        <v>328</v>
      </c>
      <c r="G1" s="407" t="str">
        <f>IFERROR(VLOOKUP($B$1,送付状!$B$18:$O$28,2,FALSE),"")</f>
        <v/>
      </c>
    </row>
    <row r="2" spans="1:7" ht="9" customHeight="1" x14ac:dyDescent="0.4">
      <c r="G2" s="407"/>
    </row>
    <row r="3" spans="1:7" ht="24.95" customHeight="1" x14ac:dyDescent="0.4">
      <c r="B3" s="55" t="s">
        <v>156</v>
      </c>
    </row>
    <row r="4" spans="1:7" ht="21.95" customHeight="1" x14ac:dyDescent="0.4">
      <c r="B4" s="56" t="s">
        <v>157</v>
      </c>
      <c r="C4" s="220" t="str">
        <f>基本情報入力!$D$23&amp;""</f>
        <v/>
      </c>
      <c r="D4" s="408" t="s">
        <v>158</v>
      </c>
      <c r="E4" s="409"/>
      <c r="F4" s="410"/>
      <c r="G4" s="435" t="str">
        <f>IF(基本情報入力!$E$23="","　　年　　　月　　　日",基本情報入力!$E$23)</f>
        <v>　　年　　　月　　　日</v>
      </c>
    </row>
    <row r="5" spans="1:7" ht="12" customHeight="1" x14ac:dyDescent="0.4">
      <c r="B5" s="416" t="s">
        <v>159</v>
      </c>
      <c r="C5" s="437" t="str">
        <f>基本情報入力!$C$23&amp;""</f>
        <v/>
      </c>
      <c r="D5" s="411"/>
      <c r="E5" s="412"/>
      <c r="F5" s="413"/>
      <c r="G5" s="436"/>
    </row>
    <row r="6" spans="1:7" ht="24.95" customHeight="1" x14ac:dyDescent="0.4">
      <c r="B6" s="417"/>
      <c r="C6" s="438"/>
      <c r="D6" s="420" t="s">
        <v>57</v>
      </c>
      <c r="E6" s="421"/>
      <c r="F6" s="422"/>
      <c r="G6" s="57" t="str">
        <f>基本情報入力!$J$23&amp;""</f>
        <v/>
      </c>
    </row>
    <row r="7" spans="1:7" ht="24.75" customHeight="1" x14ac:dyDescent="0.4">
      <c r="B7" s="423" t="s">
        <v>160</v>
      </c>
      <c r="C7" s="116" t="str">
        <f>IF(基本情報入力!$G$23=0,"〒　　　-","〒"&amp;基本情報入力!$G$23)</f>
        <v>〒　　　-</v>
      </c>
      <c r="D7" s="424" t="s">
        <v>161</v>
      </c>
      <c r="E7" s="58" t="s">
        <v>86</v>
      </c>
      <c r="F7" s="59" t="s">
        <v>162</v>
      </c>
      <c r="G7" s="60"/>
    </row>
    <row r="8" spans="1:7" ht="24.95" customHeight="1" x14ac:dyDescent="0.4">
      <c r="B8" s="423"/>
      <c r="C8" s="221" t="str">
        <f>基本情報入力!$H$23&amp;"　"&amp;基本情報入力!$I$23&amp;""</f>
        <v>　</v>
      </c>
      <c r="D8" s="425"/>
      <c r="E8" s="61" t="s">
        <v>86</v>
      </c>
      <c r="F8" s="426" t="s">
        <v>163</v>
      </c>
      <c r="G8" s="427"/>
    </row>
    <row r="9" spans="1:7" ht="24.95" customHeight="1" x14ac:dyDescent="0.4">
      <c r="B9" s="423" t="s">
        <v>6</v>
      </c>
      <c r="C9" s="428" t="str">
        <f>基本情報入力!$K$23&amp;""</f>
        <v/>
      </c>
      <c r="D9" s="424" t="s">
        <v>164</v>
      </c>
      <c r="E9" s="58" t="s">
        <v>86</v>
      </c>
      <c r="F9" s="59" t="s">
        <v>165</v>
      </c>
      <c r="G9" s="60"/>
    </row>
    <row r="10" spans="1:7" ht="24.95" customHeight="1" x14ac:dyDescent="0.4">
      <c r="B10" s="423"/>
      <c r="C10" s="428"/>
      <c r="D10" s="425"/>
      <c r="E10" s="61" t="s">
        <v>86</v>
      </c>
      <c r="F10" s="426" t="s">
        <v>163</v>
      </c>
      <c r="G10" s="427"/>
    </row>
    <row r="11" spans="1:7" ht="9" customHeight="1" x14ac:dyDescent="0.4"/>
    <row r="12" spans="1:7" ht="24.95" customHeight="1" x14ac:dyDescent="0.4">
      <c r="B12" s="55" t="s">
        <v>167</v>
      </c>
    </row>
    <row r="13" spans="1:7" ht="21.95" customHeight="1" x14ac:dyDescent="0.4">
      <c r="B13" s="56" t="s">
        <v>157</v>
      </c>
      <c r="C13" s="64" t="str">
        <f>基本情報入力!$D$24&amp;""</f>
        <v/>
      </c>
      <c r="D13" s="434" t="s">
        <v>166</v>
      </c>
      <c r="E13" s="434"/>
      <c r="F13" s="434"/>
      <c r="G13" s="432" t="str">
        <f>基本情報入力!$B$24&amp;""</f>
        <v/>
      </c>
    </row>
    <row r="14" spans="1:7" ht="18" customHeight="1" x14ac:dyDescent="0.4">
      <c r="B14" s="416" t="s">
        <v>159</v>
      </c>
      <c r="C14" s="418" t="str">
        <f>基本情報入力!$C$24&amp;""</f>
        <v/>
      </c>
      <c r="D14" s="434"/>
      <c r="E14" s="434"/>
      <c r="F14" s="434"/>
      <c r="G14" s="432"/>
    </row>
    <row r="15" spans="1:7" ht="14.25" customHeight="1" x14ac:dyDescent="0.4">
      <c r="B15" s="417"/>
      <c r="C15" s="419"/>
      <c r="D15" s="423" t="s">
        <v>158</v>
      </c>
      <c r="E15" s="423"/>
      <c r="F15" s="423"/>
      <c r="G15" s="433" t="str">
        <f>IF(基本情報入力!$E$24="","　　年　　　月　　　日",基本情報入力!$E$24)</f>
        <v>　　年　　　月　　　日</v>
      </c>
    </row>
    <row r="16" spans="1:7" ht="15" customHeight="1" x14ac:dyDescent="0.4">
      <c r="B16" s="423" t="s">
        <v>160</v>
      </c>
      <c r="C16" s="116" t="str">
        <f>IF(基本情報入力!$G$24=0,"〒　　　-","〒"&amp;基本情報入力!$G$24)</f>
        <v>〒　　　-</v>
      </c>
      <c r="D16" s="423"/>
      <c r="E16" s="423"/>
      <c r="F16" s="423"/>
      <c r="G16" s="433"/>
    </row>
    <row r="17" spans="2:7" ht="21.95" customHeight="1" x14ac:dyDescent="0.4">
      <c r="B17" s="423"/>
      <c r="C17" s="221" t="str">
        <f>基本情報入力!$H$24&amp;"　"&amp;基本情報入力!$I$24&amp;""</f>
        <v>　</v>
      </c>
      <c r="D17" s="423"/>
      <c r="E17" s="423"/>
      <c r="F17" s="423"/>
      <c r="G17" s="433"/>
    </row>
    <row r="18" spans="2:7" ht="24.95" customHeight="1" x14ac:dyDescent="0.4">
      <c r="B18" s="423" t="s">
        <v>6</v>
      </c>
      <c r="C18" s="439" t="str">
        <f>基本情報入力!$K$24&amp;""</f>
        <v/>
      </c>
      <c r="D18" s="424" t="s">
        <v>164</v>
      </c>
      <c r="E18" s="58" t="s">
        <v>86</v>
      </c>
      <c r="F18" s="62" t="s">
        <v>165</v>
      </c>
      <c r="G18" s="63"/>
    </row>
    <row r="19" spans="2:7" ht="24.95" customHeight="1" x14ac:dyDescent="0.4">
      <c r="B19" s="423"/>
      <c r="C19" s="440"/>
      <c r="D19" s="425"/>
      <c r="E19" s="61" t="s">
        <v>86</v>
      </c>
      <c r="F19" s="426" t="s">
        <v>163</v>
      </c>
      <c r="G19" s="427"/>
    </row>
    <row r="20" spans="2:7" ht="9" customHeight="1" x14ac:dyDescent="0.4"/>
    <row r="21" spans="2:7" ht="24.95" customHeight="1" x14ac:dyDescent="0.4">
      <c r="B21" s="55" t="s">
        <v>32</v>
      </c>
    </row>
    <row r="22" spans="2:7" ht="21.95" customHeight="1" x14ac:dyDescent="0.4">
      <c r="B22" s="56" t="s">
        <v>157</v>
      </c>
      <c r="C22" s="64" t="str">
        <f>基本情報入力!$D$25&amp;""</f>
        <v/>
      </c>
      <c r="D22" s="434" t="s">
        <v>166</v>
      </c>
      <c r="E22" s="434"/>
      <c r="F22" s="434"/>
      <c r="G22" s="432" t="str">
        <f>基本情報入力!$B$25&amp;""</f>
        <v/>
      </c>
    </row>
    <row r="23" spans="2:7" ht="18" customHeight="1" x14ac:dyDescent="0.4">
      <c r="B23" s="416" t="s">
        <v>159</v>
      </c>
      <c r="C23" s="418" t="str">
        <f>基本情報入力!$C$25&amp;""</f>
        <v/>
      </c>
      <c r="D23" s="434"/>
      <c r="E23" s="434"/>
      <c r="F23" s="434"/>
      <c r="G23" s="432"/>
    </row>
    <row r="24" spans="2:7" ht="14.25" customHeight="1" x14ac:dyDescent="0.4">
      <c r="B24" s="417"/>
      <c r="C24" s="419"/>
      <c r="D24" s="423" t="s">
        <v>158</v>
      </c>
      <c r="E24" s="423"/>
      <c r="F24" s="423"/>
      <c r="G24" s="433" t="str">
        <f>IF(基本情報入力!$E$25="","　　年　　　月　　　日",基本情報入力!$E$25)</f>
        <v>　　年　　　月　　　日</v>
      </c>
    </row>
    <row r="25" spans="2:7" ht="15" customHeight="1" x14ac:dyDescent="0.4">
      <c r="B25" s="423" t="s">
        <v>160</v>
      </c>
      <c r="C25" s="116" t="str">
        <f>IF(基本情報入力!$G$25=0,"〒　　　-","〒"&amp;基本情報入力!$G$25)</f>
        <v>〒　　　-</v>
      </c>
      <c r="D25" s="423"/>
      <c r="E25" s="423"/>
      <c r="F25" s="423"/>
      <c r="G25" s="433"/>
    </row>
    <row r="26" spans="2:7" ht="21.95" customHeight="1" x14ac:dyDescent="0.4">
      <c r="B26" s="423"/>
      <c r="C26" s="114" t="str">
        <f>基本情報入力!$H$25&amp;"　"&amp;基本情報入力!$I$25&amp;""</f>
        <v>　</v>
      </c>
      <c r="D26" s="423"/>
      <c r="E26" s="423"/>
      <c r="F26" s="423"/>
      <c r="G26" s="433"/>
    </row>
    <row r="27" spans="2:7" ht="24.95" customHeight="1" x14ac:dyDescent="0.4">
      <c r="B27" s="423" t="s">
        <v>6</v>
      </c>
      <c r="C27" s="439" t="str">
        <f>基本情報入力!$K$25&amp;""</f>
        <v/>
      </c>
      <c r="D27" s="424" t="s">
        <v>164</v>
      </c>
      <c r="E27" s="58" t="s">
        <v>86</v>
      </c>
      <c r="F27" s="62" t="s">
        <v>165</v>
      </c>
      <c r="G27" s="63"/>
    </row>
    <row r="28" spans="2:7" ht="24.95" customHeight="1" x14ac:dyDescent="0.4">
      <c r="B28" s="423"/>
      <c r="C28" s="440"/>
      <c r="D28" s="425"/>
      <c r="E28" s="61" t="s">
        <v>86</v>
      </c>
      <c r="F28" s="426" t="s">
        <v>163</v>
      </c>
      <c r="G28" s="427"/>
    </row>
    <row r="29" spans="2:7" ht="9" customHeight="1" x14ac:dyDescent="0.4"/>
    <row r="30" spans="2:7" ht="24.95" customHeight="1" x14ac:dyDescent="0.4">
      <c r="B30" s="55" t="s">
        <v>34</v>
      </c>
    </row>
    <row r="31" spans="2:7" ht="21.95" customHeight="1" x14ac:dyDescent="0.4">
      <c r="B31" s="56" t="s">
        <v>157</v>
      </c>
      <c r="C31" s="64" t="str">
        <f>基本情報入力!$D$26&amp;""</f>
        <v/>
      </c>
      <c r="D31" s="434" t="s">
        <v>166</v>
      </c>
      <c r="E31" s="434"/>
      <c r="F31" s="434"/>
      <c r="G31" s="432" t="str">
        <f>基本情報入力!$B$26&amp;""</f>
        <v/>
      </c>
    </row>
    <row r="32" spans="2:7" ht="18" customHeight="1" x14ac:dyDescent="0.4">
      <c r="B32" s="416" t="s">
        <v>159</v>
      </c>
      <c r="C32" s="418" t="str">
        <f>基本情報入力!$C$26&amp;""</f>
        <v/>
      </c>
      <c r="D32" s="434"/>
      <c r="E32" s="434"/>
      <c r="F32" s="434"/>
      <c r="G32" s="432"/>
    </row>
    <row r="33" spans="2:7" ht="14.25" customHeight="1" x14ac:dyDescent="0.4">
      <c r="B33" s="417"/>
      <c r="C33" s="419"/>
      <c r="D33" s="423" t="s">
        <v>158</v>
      </c>
      <c r="E33" s="423"/>
      <c r="F33" s="423"/>
      <c r="G33" s="433" t="str">
        <f>IF(基本情報入力!$E$26="","　　年　　　月　　　日",基本情報入力!$E$26)</f>
        <v>　　年　　　月　　　日</v>
      </c>
    </row>
    <row r="34" spans="2:7" ht="15" customHeight="1" x14ac:dyDescent="0.4">
      <c r="B34" s="423" t="s">
        <v>160</v>
      </c>
      <c r="C34" s="116" t="str">
        <f>IF(基本情報入力!$G$26=0,"〒　　　-","〒"&amp;基本情報入力!$G$26)</f>
        <v>〒　　　-</v>
      </c>
      <c r="D34" s="423"/>
      <c r="E34" s="423"/>
      <c r="F34" s="423"/>
      <c r="G34" s="433"/>
    </row>
    <row r="35" spans="2:7" ht="21.95" customHeight="1" x14ac:dyDescent="0.4">
      <c r="B35" s="423"/>
      <c r="C35" s="114" t="str">
        <f>基本情報入力!$H$26&amp;"　"&amp;基本情報入力!$I$26&amp;""</f>
        <v>　</v>
      </c>
      <c r="D35" s="423"/>
      <c r="E35" s="423"/>
      <c r="F35" s="423"/>
      <c r="G35" s="433"/>
    </row>
    <row r="36" spans="2:7" ht="24.95" customHeight="1" x14ac:dyDescent="0.4">
      <c r="B36" s="423" t="s">
        <v>6</v>
      </c>
      <c r="C36" s="441" t="str">
        <f>基本情報入力!$K$26&amp;""</f>
        <v/>
      </c>
      <c r="D36" s="424" t="s">
        <v>164</v>
      </c>
      <c r="E36" s="58" t="s">
        <v>86</v>
      </c>
      <c r="F36" s="62" t="s">
        <v>165</v>
      </c>
      <c r="G36" s="63"/>
    </row>
    <row r="37" spans="2:7" ht="24.95" customHeight="1" x14ac:dyDescent="0.4">
      <c r="B37" s="423"/>
      <c r="C37" s="442"/>
      <c r="D37" s="425"/>
      <c r="E37" s="61" t="s">
        <v>86</v>
      </c>
      <c r="F37" s="426" t="s">
        <v>163</v>
      </c>
      <c r="G37" s="427"/>
    </row>
    <row r="38" spans="2:7" ht="24.95" customHeight="1" x14ac:dyDescent="0.4">
      <c r="B38" s="55" t="s">
        <v>35</v>
      </c>
    </row>
    <row r="39" spans="2:7" ht="21.95" customHeight="1" x14ac:dyDescent="0.4">
      <c r="B39" s="56" t="s">
        <v>157</v>
      </c>
      <c r="C39" s="64" t="str">
        <f>基本情報入力!$D$27&amp;""</f>
        <v/>
      </c>
      <c r="D39" s="434" t="s">
        <v>166</v>
      </c>
      <c r="E39" s="434"/>
      <c r="F39" s="434"/>
      <c r="G39" s="432" t="str">
        <f>基本情報入力!$B$27&amp;""</f>
        <v/>
      </c>
    </row>
    <row r="40" spans="2:7" ht="18" customHeight="1" x14ac:dyDescent="0.4">
      <c r="B40" s="416" t="s">
        <v>159</v>
      </c>
      <c r="C40" s="418" t="str">
        <f>基本情報入力!$C$27&amp;""</f>
        <v/>
      </c>
      <c r="D40" s="434"/>
      <c r="E40" s="434"/>
      <c r="F40" s="434"/>
      <c r="G40" s="432"/>
    </row>
    <row r="41" spans="2:7" ht="14.25" customHeight="1" x14ac:dyDescent="0.4">
      <c r="B41" s="417"/>
      <c r="C41" s="419"/>
      <c r="D41" s="423" t="s">
        <v>158</v>
      </c>
      <c r="E41" s="423"/>
      <c r="F41" s="423"/>
      <c r="G41" s="433" t="str">
        <f>IF(基本情報入力!$E$27="","　　年　　　月　　　日",基本情報入力!$E$27)</f>
        <v>　　年　　　月　　　日</v>
      </c>
    </row>
    <row r="42" spans="2:7" ht="15" customHeight="1" x14ac:dyDescent="0.4">
      <c r="B42" s="423" t="s">
        <v>160</v>
      </c>
      <c r="C42" s="116" t="str">
        <f>IF(基本情報入力!$G$27=0,"〒　　　-","〒"&amp;基本情報入力!$G$27)</f>
        <v>〒　　　-</v>
      </c>
      <c r="D42" s="423"/>
      <c r="E42" s="423"/>
      <c r="F42" s="423"/>
      <c r="G42" s="433"/>
    </row>
    <row r="43" spans="2:7" ht="21.95" customHeight="1" x14ac:dyDescent="0.4">
      <c r="B43" s="423"/>
      <c r="C43" s="114" t="str">
        <f>基本情報入力!$H$27&amp;"　"&amp;基本情報入力!$I$27&amp;""</f>
        <v>　</v>
      </c>
      <c r="D43" s="423"/>
      <c r="E43" s="423"/>
      <c r="F43" s="423"/>
      <c r="G43" s="433"/>
    </row>
    <row r="44" spans="2:7" ht="24.95" customHeight="1" x14ac:dyDescent="0.4">
      <c r="B44" s="423" t="s">
        <v>6</v>
      </c>
      <c r="C44" s="439" t="str">
        <f>基本情報入力!$K$27&amp;""</f>
        <v/>
      </c>
      <c r="D44" s="424" t="s">
        <v>164</v>
      </c>
      <c r="E44" s="58" t="s">
        <v>86</v>
      </c>
      <c r="F44" s="62" t="s">
        <v>165</v>
      </c>
      <c r="G44" s="63"/>
    </row>
    <row r="45" spans="2:7" ht="24.95" customHeight="1" x14ac:dyDescent="0.4">
      <c r="B45" s="423"/>
      <c r="C45" s="440"/>
      <c r="D45" s="425"/>
      <c r="E45" s="61" t="s">
        <v>86</v>
      </c>
      <c r="F45" s="426" t="s">
        <v>163</v>
      </c>
      <c r="G45" s="427"/>
    </row>
    <row r="46" spans="2:7" ht="9" customHeight="1" x14ac:dyDescent="0.4"/>
    <row r="47" spans="2:7" ht="24.95" customHeight="1" x14ac:dyDescent="0.4">
      <c r="B47" s="55" t="s">
        <v>36</v>
      </c>
    </row>
    <row r="48" spans="2:7" ht="21.95" customHeight="1" x14ac:dyDescent="0.4">
      <c r="B48" s="56" t="s">
        <v>157</v>
      </c>
      <c r="C48" s="64" t="str">
        <f>基本情報入力!$D$28&amp;""</f>
        <v/>
      </c>
      <c r="D48" s="434" t="s">
        <v>166</v>
      </c>
      <c r="E48" s="434"/>
      <c r="F48" s="434"/>
      <c r="G48" s="432" t="str">
        <f>基本情報入力!$B$28&amp;""</f>
        <v/>
      </c>
    </row>
    <row r="49" spans="2:7" ht="18" customHeight="1" x14ac:dyDescent="0.4">
      <c r="B49" s="416" t="s">
        <v>159</v>
      </c>
      <c r="C49" s="418" t="str">
        <f>基本情報入力!$C$28&amp;""</f>
        <v/>
      </c>
      <c r="D49" s="434"/>
      <c r="E49" s="434"/>
      <c r="F49" s="434"/>
      <c r="G49" s="432"/>
    </row>
    <row r="50" spans="2:7" ht="14.25" customHeight="1" x14ac:dyDescent="0.4">
      <c r="B50" s="417"/>
      <c r="C50" s="419"/>
      <c r="D50" s="423" t="s">
        <v>158</v>
      </c>
      <c r="E50" s="423"/>
      <c r="F50" s="423"/>
      <c r="G50" s="433" t="str">
        <f>IF(基本情報入力!$E$28="","　　年　　　月　　　日",基本情報入力!$E$28)</f>
        <v>　　年　　　月　　　日</v>
      </c>
    </row>
    <row r="51" spans="2:7" ht="15" customHeight="1" x14ac:dyDescent="0.4">
      <c r="B51" s="423" t="s">
        <v>160</v>
      </c>
      <c r="C51" s="116" t="str">
        <f>IF(基本情報入力!$G$28=0,"〒　　　-","〒"&amp;基本情報入力!$G$28)</f>
        <v>〒　　　-</v>
      </c>
      <c r="D51" s="423"/>
      <c r="E51" s="423"/>
      <c r="F51" s="423"/>
      <c r="G51" s="433"/>
    </row>
    <row r="52" spans="2:7" ht="21.95" customHeight="1" x14ac:dyDescent="0.4">
      <c r="B52" s="423"/>
      <c r="C52" s="114" t="str">
        <f>基本情報入力!$H$28&amp;"　"&amp;基本情報入力!$I$28&amp;""</f>
        <v>　</v>
      </c>
      <c r="D52" s="423"/>
      <c r="E52" s="423"/>
      <c r="F52" s="423"/>
      <c r="G52" s="433"/>
    </row>
    <row r="53" spans="2:7" ht="24.95" customHeight="1" x14ac:dyDescent="0.4">
      <c r="B53" s="423" t="s">
        <v>6</v>
      </c>
      <c r="C53" s="439" t="str">
        <f>基本情報入力!$K$28&amp;""</f>
        <v/>
      </c>
      <c r="D53" s="424" t="s">
        <v>164</v>
      </c>
      <c r="E53" s="58" t="s">
        <v>86</v>
      </c>
      <c r="F53" s="62" t="s">
        <v>165</v>
      </c>
      <c r="G53" s="63"/>
    </row>
    <row r="54" spans="2:7" ht="24.95" customHeight="1" x14ac:dyDescent="0.4">
      <c r="B54" s="423"/>
      <c r="C54" s="440"/>
      <c r="D54" s="425"/>
      <c r="E54" s="61" t="s">
        <v>86</v>
      </c>
      <c r="F54" s="426" t="s">
        <v>163</v>
      </c>
      <c r="G54" s="427"/>
    </row>
    <row r="55" spans="2:7" ht="9" customHeight="1" x14ac:dyDescent="0.4"/>
    <row r="56" spans="2:7" ht="24.95" customHeight="1" x14ac:dyDescent="0.4">
      <c r="B56" s="55" t="s">
        <v>37</v>
      </c>
    </row>
    <row r="57" spans="2:7" ht="21.95" customHeight="1" x14ac:dyDescent="0.4">
      <c r="B57" s="56" t="s">
        <v>157</v>
      </c>
      <c r="C57" s="64" t="str">
        <f>基本情報入力!$D$29&amp;""</f>
        <v/>
      </c>
      <c r="D57" s="434" t="s">
        <v>166</v>
      </c>
      <c r="E57" s="434"/>
      <c r="F57" s="434"/>
      <c r="G57" s="432" t="str">
        <f>基本情報入力!$B$29&amp;""</f>
        <v/>
      </c>
    </row>
    <row r="58" spans="2:7" ht="18" customHeight="1" x14ac:dyDescent="0.4">
      <c r="B58" s="416" t="s">
        <v>159</v>
      </c>
      <c r="C58" s="418" t="str">
        <f>基本情報入力!$C$29&amp;""</f>
        <v/>
      </c>
      <c r="D58" s="434"/>
      <c r="E58" s="434"/>
      <c r="F58" s="434"/>
      <c r="G58" s="432"/>
    </row>
    <row r="59" spans="2:7" ht="14.25" customHeight="1" x14ac:dyDescent="0.4">
      <c r="B59" s="417"/>
      <c r="C59" s="419"/>
      <c r="D59" s="423" t="s">
        <v>158</v>
      </c>
      <c r="E59" s="423"/>
      <c r="F59" s="423"/>
      <c r="G59" s="433" t="str">
        <f>IF(基本情報入力!$E$29="","　　年　　　月　　　日",基本情報入力!$E$29)</f>
        <v>　　年　　　月　　　日</v>
      </c>
    </row>
    <row r="60" spans="2:7" ht="15" customHeight="1" x14ac:dyDescent="0.4">
      <c r="B60" s="423" t="s">
        <v>160</v>
      </c>
      <c r="C60" s="116" t="str">
        <f>IF(基本情報入力!$G$29=0,"〒　　　-",基本情報入力!$G$29)</f>
        <v>〒　　　-</v>
      </c>
      <c r="D60" s="423"/>
      <c r="E60" s="423"/>
      <c r="F60" s="423"/>
      <c r="G60" s="433"/>
    </row>
    <row r="61" spans="2:7" ht="21.95" customHeight="1" x14ac:dyDescent="0.4">
      <c r="B61" s="423"/>
      <c r="C61" s="114" t="str">
        <f>基本情報入力!$H$29&amp;"　"&amp;基本情報入力!$I$29&amp;""</f>
        <v>　</v>
      </c>
      <c r="D61" s="423"/>
      <c r="E61" s="423"/>
      <c r="F61" s="423"/>
      <c r="G61" s="433"/>
    </row>
    <row r="62" spans="2:7" ht="24.95" customHeight="1" x14ac:dyDescent="0.4">
      <c r="B62" s="423" t="s">
        <v>6</v>
      </c>
      <c r="C62" s="441" t="str">
        <f>基本情報入力!$K$29&amp;""</f>
        <v/>
      </c>
      <c r="D62" s="424" t="s">
        <v>164</v>
      </c>
      <c r="E62" s="58" t="s">
        <v>86</v>
      </c>
      <c r="F62" s="62" t="s">
        <v>165</v>
      </c>
      <c r="G62" s="63"/>
    </row>
    <row r="63" spans="2:7" ht="24.95" customHeight="1" x14ac:dyDescent="0.4">
      <c r="B63" s="423"/>
      <c r="C63" s="442"/>
      <c r="D63" s="425"/>
      <c r="E63" s="61" t="s">
        <v>86</v>
      </c>
      <c r="F63" s="426" t="s">
        <v>163</v>
      </c>
      <c r="G63" s="427"/>
    </row>
    <row r="64" spans="2:7" ht="9" customHeight="1" x14ac:dyDescent="0.4"/>
    <row r="65" spans="2:7" ht="24.95" customHeight="1" x14ac:dyDescent="0.4">
      <c r="B65" s="55" t="s">
        <v>38</v>
      </c>
    </row>
    <row r="66" spans="2:7" ht="21.95" customHeight="1" x14ac:dyDescent="0.4">
      <c r="B66" s="56" t="s">
        <v>157</v>
      </c>
      <c r="C66" s="64" t="str">
        <f>基本情報入力!$D$30&amp;""</f>
        <v/>
      </c>
      <c r="D66" s="434" t="s">
        <v>166</v>
      </c>
      <c r="E66" s="434"/>
      <c r="F66" s="434"/>
      <c r="G66" s="432" t="str">
        <f>基本情報入力!$B$30&amp;""</f>
        <v/>
      </c>
    </row>
    <row r="67" spans="2:7" ht="18" customHeight="1" x14ac:dyDescent="0.4">
      <c r="B67" s="416" t="s">
        <v>159</v>
      </c>
      <c r="C67" s="418" t="str">
        <f>基本情報入力!$C$30&amp;""</f>
        <v/>
      </c>
      <c r="D67" s="434"/>
      <c r="E67" s="434"/>
      <c r="F67" s="434"/>
      <c r="G67" s="432"/>
    </row>
    <row r="68" spans="2:7" ht="14.25" customHeight="1" x14ac:dyDescent="0.4">
      <c r="B68" s="417"/>
      <c r="C68" s="419"/>
      <c r="D68" s="423" t="s">
        <v>158</v>
      </c>
      <c r="E68" s="423"/>
      <c r="F68" s="423"/>
      <c r="G68" s="433" t="str">
        <f>IF(基本情報入力!$E$30="","　　年　　　月　　　日",基本情報入力!$E$30)</f>
        <v>　　年　　　月　　　日</v>
      </c>
    </row>
    <row r="69" spans="2:7" ht="15" customHeight="1" x14ac:dyDescent="0.4">
      <c r="B69" s="423" t="s">
        <v>160</v>
      </c>
      <c r="C69" s="116" t="str">
        <f>IF(基本情報入力!$G$30=0,"〒　　　-","〒"&amp;基本情報入力!$G$30)</f>
        <v>〒　　　-</v>
      </c>
      <c r="D69" s="423"/>
      <c r="E69" s="423"/>
      <c r="F69" s="423"/>
      <c r="G69" s="433"/>
    </row>
    <row r="70" spans="2:7" ht="21.95" customHeight="1" x14ac:dyDescent="0.4">
      <c r="B70" s="423"/>
      <c r="C70" s="114" t="str">
        <f>基本情報入力!$H$30&amp;"　"&amp;基本情報入力!$I$30&amp;""</f>
        <v>　</v>
      </c>
      <c r="D70" s="423"/>
      <c r="E70" s="423"/>
      <c r="F70" s="423"/>
      <c r="G70" s="433"/>
    </row>
    <row r="71" spans="2:7" ht="24.95" customHeight="1" x14ac:dyDescent="0.4">
      <c r="B71" s="423" t="s">
        <v>6</v>
      </c>
      <c r="C71" s="439" t="str">
        <f>基本情報入力!$K$30&amp;""</f>
        <v/>
      </c>
      <c r="D71" s="424" t="s">
        <v>164</v>
      </c>
      <c r="E71" s="58" t="s">
        <v>86</v>
      </c>
      <c r="F71" s="62" t="s">
        <v>165</v>
      </c>
      <c r="G71" s="63"/>
    </row>
    <row r="72" spans="2:7" ht="24.95" customHeight="1" x14ac:dyDescent="0.4">
      <c r="B72" s="423"/>
      <c r="C72" s="440"/>
      <c r="D72" s="425"/>
      <c r="E72" s="61" t="s">
        <v>86</v>
      </c>
      <c r="F72" s="426" t="s">
        <v>163</v>
      </c>
      <c r="G72" s="427"/>
    </row>
    <row r="73" spans="2:7" ht="9" customHeight="1" x14ac:dyDescent="0.4"/>
    <row r="74" spans="2:7" ht="24.95" customHeight="1" x14ac:dyDescent="0.4">
      <c r="B74" s="55" t="s">
        <v>39</v>
      </c>
    </row>
    <row r="75" spans="2:7" ht="21.95" customHeight="1" x14ac:dyDescent="0.4">
      <c r="B75" s="56" t="s">
        <v>157</v>
      </c>
      <c r="C75" s="64" t="str">
        <f>基本情報入力!$D$31&amp;""</f>
        <v/>
      </c>
      <c r="D75" s="434" t="s">
        <v>166</v>
      </c>
      <c r="E75" s="434"/>
      <c r="F75" s="434"/>
      <c r="G75" s="432" t="str">
        <f>基本情報入力!$B$31&amp;""</f>
        <v/>
      </c>
    </row>
    <row r="76" spans="2:7" ht="18" customHeight="1" x14ac:dyDescent="0.4">
      <c r="B76" s="416" t="s">
        <v>159</v>
      </c>
      <c r="C76" s="418" t="str">
        <f>基本情報入力!$C$31&amp;""</f>
        <v/>
      </c>
      <c r="D76" s="434"/>
      <c r="E76" s="434"/>
      <c r="F76" s="434"/>
      <c r="G76" s="432"/>
    </row>
    <row r="77" spans="2:7" ht="14.25" customHeight="1" x14ac:dyDescent="0.4">
      <c r="B77" s="417"/>
      <c r="C77" s="419"/>
      <c r="D77" s="423" t="s">
        <v>158</v>
      </c>
      <c r="E77" s="423"/>
      <c r="F77" s="423"/>
      <c r="G77" s="433" t="str">
        <f>IF(基本情報入力!$E$31="","　　年　　　月　　　日",基本情報入力!$E$31)</f>
        <v>　　年　　　月　　　日</v>
      </c>
    </row>
    <row r="78" spans="2:7" ht="15" customHeight="1" x14ac:dyDescent="0.4">
      <c r="B78" s="423" t="s">
        <v>160</v>
      </c>
      <c r="C78" s="116" t="str">
        <f>IF(基本情報入力!$G$31=0,"〒　　　-","〒"&amp;基本情報入力!$G$31)</f>
        <v>〒　　　-</v>
      </c>
      <c r="D78" s="423"/>
      <c r="E78" s="423"/>
      <c r="F78" s="423"/>
      <c r="G78" s="433"/>
    </row>
    <row r="79" spans="2:7" ht="21.95" customHeight="1" x14ac:dyDescent="0.4">
      <c r="B79" s="423"/>
      <c r="C79" s="114" t="str">
        <f>基本情報入力!$H$31&amp;"　"&amp;基本情報入力!$I$31&amp;""</f>
        <v>　</v>
      </c>
      <c r="D79" s="423"/>
      <c r="E79" s="423"/>
      <c r="F79" s="423"/>
      <c r="G79" s="433"/>
    </row>
    <row r="80" spans="2:7" ht="24.95" customHeight="1" x14ac:dyDescent="0.4">
      <c r="B80" s="423" t="s">
        <v>6</v>
      </c>
      <c r="C80" s="441" t="str">
        <f>基本情報入力!$K$31&amp;""</f>
        <v/>
      </c>
      <c r="D80" s="424" t="s">
        <v>164</v>
      </c>
      <c r="E80" s="58" t="s">
        <v>86</v>
      </c>
      <c r="F80" s="62" t="s">
        <v>165</v>
      </c>
      <c r="G80" s="63"/>
    </row>
    <row r="81" spans="2:7" ht="24.95" customHeight="1" x14ac:dyDescent="0.4">
      <c r="B81" s="423"/>
      <c r="C81" s="442"/>
      <c r="D81" s="425"/>
      <c r="E81" s="61" t="s">
        <v>86</v>
      </c>
      <c r="F81" s="426" t="s">
        <v>163</v>
      </c>
      <c r="G81" s="427"/>
    </row>
    <row r="82" spans="2:7" ht="9" customHeight="1" x14ac:dyDescent="0.4"/>
    <row r="83" spans="2:7" ht="24.95" customHeight="1" x14ac:dyDescent="0.4">
      <c r="B83" s="55" t="s">
        <v>168</v>
      </c>
    </row>
    <row r="84" spans="2:7" ht="21.95" customHeight="1" x14ac:dyDescent="0.4">
      <c r="B84" s="56" t="s">
        <v>157</v>
      </c>
      <c r="C84" s="64" t="str">
        <f>基本情報入力!$D$32&amp;""</f>
        <v/>
      </c>
      <c r="D84" s="434" t="s">
        <v>166</v>
      </c>
      <c r="E84" s="434"/>
      <c r="F84" s="434"/>
      <c r="G84" s="432" t="str">
        <f>基本情報入力!$B$32&amp;""</f>
        <v/>
      </c>
    </row>
    <row r="85" spans="2:7" ht="18" customHeight="1" x14ac:dyDescent="0.4">
      <c r="B85" s="416" t="s">
        <v>159</v>
      </c>
      <c r="C85" s="418" t="str">
        <f>基本情報入力!$C$32&amp;""</f>
        <v/>
      </c>
      <c r="D85" s="434"/>
      <c r="E85" s="434"/>
      <c r="F85" s="434"/>
      <c r="G85" s="432"/>
    </row>
    <row r="86" spans="2:7" ht="14.25" customHeight="1" x14ac:dyDescent="0.4">
      <c r="B86" s="417"/>
      <c r="C86" s="419"/>
      <c r="D86" s="423" t="s">
        <v>158</v>
      </c>
      <c r="E86" s="423"/>
      <c r="F86" s="423"/>
      <c r="G86" s="433" t="str">
        <f>IF(基本情報入力!$E$32="","　　年　　　月　　　日",基本情報入力!$E$32)</f>
        <v>　　年　　　月　　　日</v>
      </c>
    </row>
    <row r="87" spans="2:7" ht="15" customHeight="1" x14ac:dyDescent="0.4">
      <c r="B87" s="423" t="s">
        <v>160</v>
      </c>
      <c r="C87" s="116" t="str">
        <f>IF(基本情報入力!$G$32=0,"〒　　　-","〒"&amp;基本情報入力!$G$32)</f>
        <v>〒　　　-</v>
      </c>
      <c r="D87" s="423"/>
      <c r="E87" s="423"/>
      <c r="F87" s="423"/>
      <c r="G87" s="433"/>
    </row>
    <row r="88" spans="2:7" ht="21.95" customHeight="1" x14ac:dyDescent="0.4">
      <c r="B88" s="423"/>
      <c r="C88" s="114" t="str">
        <f>基本情報入力!$H$32&amp;"　"&amp;基本情報入力!$I$32&amp;""</f>
        <v>　</v>
      </c>
      <c r="D88" s="423"/>
      <c r="E88" s="423"/>
      <c r="F88" s="423"/>
      <c r="G88" s="433"/>
    </row>
    <row r="89" spans="2:7" ht="24.95" customHeight="1" x14ac:dyDescent="0.4">
      <c r="B89" s="423" t="s">
        <v>6</v>
      </c>
      <c r="C89" s="439" t="str">
        <f>基本情報入力!$K$32&amp;""</f>
        <v/>
      </c>
      <c r="D89" s="424" t="s">
        <v>164</v>
      </c>
      <c r="E89" s="58" t="s">
        <v>86</v>
      </c>
      <c r="F89" s="62" t="s">
        <v>165</v>
      </c>
      <c r="G89" s="63"/>
    </row>
    <row r="90" spans="2:7" ht="24.95" customHeight="1" x14ac:dyDescent="0.4">
      <c r="B90" s="423"/>
      <c r="C90" s="440"/>
      <c r="D90" s="425"/>
      <c r="E90" s="61" t="s">
        <v>86</v>
      </c>
      <c r="F90" s="426" t="s">
        <v>163</v>
      </c>
      <c r="G90" s="427"/>
    </row>
    <row r="91" spans="2:7" ht="9" customHeight="1" x14ac:dyDescent="0.4"/>
    <row r="92" spans="2:7" ht="24.95" customHeight="1" x14ac:dyDescent="0.4">
      <c r="B92" s="55" t="s">
        <v>169</v>
      </c>
    </row>
    <row r="93" spans="2:7" ht="21.95" customHeight="1" x14ac:dyDescent="0.4">
      <c r="B93" s="56" t="s">
        <v>157</v>
      </c>
      <c r="C93" s="64" t="str">
        <f>基本情報入力!$D$33&amp;""</f>
        <v/>
      </c>
      <c r="D93" s="434" t="s">
        <v>166</v>
      </c>
      <c r="E93" s="434"/>
      <c r="F93" s="434"/>
      <c r="G93" s="432" t="str">
        <f>基本情報入力!$B$33&amp;""</f>
        <v/>
      </c>
    </row>
    <row r="94" spans="2:7" ht="18" customHeight="1" x14ac:dyDescent="0.4">
      <c r="B94" s="416" t="s">
        <v>159</v>
      </c>
      <c r="C94" s="418" t="str">
        <f>基本情報入力!$C$33&amp;""</f>
        <v/>
      </c>
      <c r="D94" s="434"/>
      <c r="E94" s="434"/>
      <c r="F94" s="434"/>
      <c r="G94" s="432"/>
    </row>
    <row r="95" spans="2:7" ht="14.25" customHeight="1" x14ac:dyDescent="0.4">
      <c r="B95" s="417"/>
      <c r="C95" s="419"/>
      <c r="D95" s="423" t="s">
        <v>158</v>
      </c>
      <c r="E95" s="423"/>
      <c r="F95" s="423"/>
      <c r="G95" s="433" t="str">
        <f>IF(基本情報入力!$E$33="","　　年　　　月　　　日",基本情報入力!$E$33)</f>
        <v>　　年　　　月　　　日</v>
      </c>
    </row>
    <row r="96" spans="2:7" ht="15" customHeight="1" x14ac:dyDescent="0.4">
      <c r="B96" s="423" t="s">
        <v>160</v>
      </c>
      <c r="C96" s="116" t="str">
        <f>IF(基本情報入力!$G$33=0,"〒　　　-","〒"&amp;基本情報入力!$G$33)</f>
        <v>〒　　　-</v>
      </c>
      <c r="D96" s="423"/>
      <c r="E96" s="423"/>
      <c r="F96" s="423"/>
      <c r="G96" s="433"/>
    </row>
    <row r="97" spans="2:7" ht="21.95" customHeight="1" x14ac:dyDescent="0.4">
      <c r="B97" s="423"/>
      <c r="C97" s="114" t="str">
        <f>基本情報入力!$H$33&amp;"　"&amp;基本情報入力!$I$33&amp;""</f>
        <v>　</v>
      </c>
      <c r="D97" s="423"/>
      <c r="E97" s="423"/>
      <c r="F97" s="423"/>
      <c r="G97" s="433"/>
    </row>
    <row r="98" spans="2:7" ht="24.95" customHeight="1" x14ac:dyDescent="0.4">
      <c r="B98" s="423" t="s">
        <v>6</v>
      </c>
      <c r="C98" s="439" t="str">
        <f>基本情報入力!$K$33&amp;""</f>
        <v/>
      </c>
      <c r="D98" s="424" t="s">
        <v>164</v>
      </c>
      <c r="E98" s="58" t="s">
        <v>86</v>
      </c>
      <c r="F98" s="62" t="s">
        <v>165</v>
      </c>
      <c r="G98" s="63"/>
    </row>
    <row r="99" spans="2:7" ht="24.95" customHeight="1" x14ac:dyDescent="0.4">
      <c r="B99" s="423"/>
      <c r="C99" s="440"/>
      <c r="D99" s="425"/>
      <c r="E99" s="61" t="s">
        <v>86</v>
      </c>
      <c r="F99" s="426" t="s">
        <v>163</v>
      </c>
      <c r="G99" s="427"/>
    </row>
    <row r="100" spans="2:7" ht="9" customHeight="1" x14ac:dyDescent="0.4"/>
    <row r="101" spans="2:7" ht="24.95" customHeight="1" x14ac:dyDescent="0.4">
      <c r="B101" s="55" t="s">
        <v>170</v>
      </c>
    </row>
    <row r="102" spans="2:7" ht="21.95" customHeight="1" x14ac:dyDescent="0.4">
      <c r="B102" s="56" t="s">
        <v>157</v>
      </c>
      <c r="C102" s="64" t="str">
        <f>基本情報入力!$D$34&amp;""</f>
        <v/>
      </c>
      <c r="D102" s="434" t="s">
        <v>166</v>
      </c>
      <c r="E102" s="434"/>
      <c r="F102" s="434"/>
      <c r="G102" s="432" t="str">
        <f>基本情報入力!$B$34&amp;""</f>
        <v/>
      </c>
    </row>
    <row r="103" spans="2:7" ht="18" customHeight="1" x14ac:dyDescent="0.4">
      <c r="B103" s="416" t="s">
        <v>159</v>
      </c>
      <c r="C103" s="418" t="str">
        <f>基本情報入力!$C$34&amp;""</f>
        <v/>
      </c>
      <c r="D103" s="434"/>
      <c r="E103" s="434"/>
      <c r="F103" s="434"/>
      <c r="G103" s="432"/>
    </row>
    <row r="104" spans="2:7" ht="14.25" customHeight="1" x14ac:dyDescent="0.4">
      <c r="B104" s="417"/>
      <c r="C104" s="419"/>
      <c r="D104" s="423" t="s">
        <v>158</v>
      </c>
      <c r="E104" s="423"/>
      <c r="F104" s="423"/>
      <c r="G104" s="433" t="str">
        <f>IF(基本情報入力!$E$34="","　　年　　　月　　　日",基本情報入力!$E$34)</f>
        <v>　　年　　　月　　　日</v>
      </c>
    </row>
    <row r="105" spans="2:7" ht="15" customHeight="1" x14ac:dyDescent="0.4">
      <c r="B105" s="423" t="s">
        <v>160</v>
      </c>
      <c r="C105" s="116" t="str">
        <f>IF(基本情報入力!$G$34=0,"〒　　　-","〒"&amp;基本情報入力!$G$34)</f>
        <v>〒　　　-</v>
      </c>
      <c r="D105" s="423"/>
      <c r="E105" s="423"/>
      <c r="F105" s="423"/>
      <c r="G105" s="433"/>
    </row>
    <row r="106" spans="2:7" ht="21.95" customHeight="1" x14ac:dyDescent="0.4">
      <c r="B106" s="423"/>
      <c r="C106" s="114" t="str">
        <f>基本情報入力!$H$34&amp;"　"&amp;基本情報入力!$I$34&amp;""</f>
        <v>　</v>
      </c>
      <c r="D106" s="423"/>
      <c r="E106" s="423"/>
      <c r="F106" s="423"/>
      <c r="G106" s="433"/>
    </row>
    <row r="107" spans="2:7" ht="24.95" customHeight="1" x14ac:dyDescent="0.4">
      <c r="B107" s="423" t="s">
        <v>6</v>
      </c>
      <c r="C107" s="439" t="str">
        <f>基本情報入力!$K$34&amp;""</f>
        <v/>
      </c>
      <c r="D107" s="424" t="s">
        <v>164</v>
      </c>
      <c r="E107" s="58" t="s">
        <v>86</v>
      </c>
      <c r="F107" s="62" t="s">
        <v>165</v>
      </c>
      <c r="G107" s="63"/>
    </row>
    <row r="108" spans="2:7" ht="24.95" customHeight="1" x14ac:dyDescent="0.4">
      <c r="B108" s="423"/>
      <c r="C108" s="440"/>
      <c r="D108" s="425"/>
      <c r="E108" s="61" t="s">
        <v>86</v>
      </c>
      <c r="F108" s="426" t="s">
        <v>163</v>
      </c>
      <c r="G108" s="427"/>
    </row>
    <row r="109" spans="2:7" ht="9" customHeight="1" x14ac:dyDescent="0.4"/>
    <row r="110" spans="2:7" ht="24.95" customHeight="1" x14ac:dyDescent="0.4">
      <c r="B110" s="55" t="s">
        <v>171</v>
      </c>
    </row>
    <row r="111" spans="2:7" ht="21.95" customHeight="1" x14ac:dyDescent="0.4">
      <c r="B111" s="56" t="s">
        <v>157</v>
      </c>
      <c r="C111" s="64" t="str">
        <f>基本情報入力!$D$35&amp;""</f>
        <v/>
      </c>
      <c r="D111" s="434" t="s">
        <v>166</v>
      </c>
      <c r="E111" s="434"/>
      <c r="F111" s="434"/>
      <c r="G111" s="432" t="str">
        <f>基本情報入力!$B$35&amp;""</f>
        <v/>
      </c>
    </row>
    <row r="112" spans="2:7" ht="18" customHeight="1" x14ac:dyDescent="0.4">
      <c r="B112" s="416" t="s">
        <v>159</v>
      </c>
      <c r="C112" s="418" t="str">
        <f>基本情報入力!$C$35&amp;""</f>
        <v/>
      </c>
      <c r="D112" s="434"/>
      <c r="E112" s="434"/>
      <c r="F112" s="434"/>
      <c r="G112" s="432"/>
    </row>
    <row r="113" spans="2:7" ht="14.25" customHeight="1" x14ac:dyDescent="0.4">
      <c r="B113" s="417"/>
      <c r="C113" s="419"/>
      <c r="D113" s="423" t="s">
        <v>158</v>
      </c>
      <c r="E113" s="423"/>
      <c r="F113" s="423"/>
      <c r="G113" s="433" t="str">
        <f>IF(基本情報入力!$E$35="","　　年　　　月　　　日",基本情報入力!$E$35)</f>
        <v>　　年　　　月　　　日</v>
      </c>
    </row>
    <row r="114" spans="2:7" ht="15" customHeight="1" x14ac:dyDescent="0.4">
      <c r="B114" s="423" t="s">
        <v>160</v>
      </c>
      <c r="C114" s="116" t="str">
        <f>IF(基本情報入力!$G$35=0,"〒　　　-","〒"&amp;基本情報入力!$G$35)</f>
        <v>〒　　　-</v>
      </c>
      <c r="D114" s="423"/>
      <c r="E114" s="423"/>
      <c r="F114" s="423"/>
      <c r="G114" s="433"/>
    </row>
    <row r="115" spans="2:7" ht="21.95" customHeight="1" x14ac:dyDescent="0.4">
      <c r="B115" s="423"/>
      <c r="C115" s="114" t="str">
        <f>基本情報入力!$H$35&amp;"　"&amp;基本情報入力!$I$35&amp;""</f>
        <v>　</v>
      </c>
      <c r="D115" s="423"/>
      <c r="E115" s="423"/>
      <c r="F115" s="423"/>
      <c r="G115" s="433"/>
    </row>
    <row r="116" spans="2:7" ht="24.95" customHeight="1" x14ac:dyDescent="0.4">
      <c r="B116" s="423" t="s">
        <v>6</v>
      </c>
      <c r="C116" s="439" t="str">
        <f>基本情報入力!$K$35&amp;""</f>
        <v/>
      </c>
      <c r="D116" s="424" t="s">
        <v>164</v>
      </c>
      <c r="E116" s="58" t="s">
        <v>86</v>
      </c>
      <c r="F116" s="62" t="s">
        <v>165</v>
      </c>
      <c r="G116" s="63"/>
    </row>
    <row r="117" spans="2:7" ht="24.95" customHeight="1" x14ac:dyDescent="0.4">
      <c r="B117" s="423"/>
      <c r="C117" s="440"/>
      <c r="D117" s="425"/>
      <c r="E117" s="61" t="s">
        <v>86</v>
      </c>
      <c r="F117" s="426" t="s">
        <v>163</v>
      </c>
      <c r="G117" s="427"/>
    </row>
  </sheetData>
  <sheetProtection sheet="1" objects="1" scenarios="1"/>
  <mergeCells count="145">
    <mergeCell ref="B114:B115"/>
    <mergeCell ref="B116:B117"/>
    <mergeCell ref="C116:C117"/>
    <mergeCell ref="D116:D117"/>
    <mergeCell ref="F117:G117"/>
    <mergeCell ref="B107:B108"/>
    <mergeCell ref="C107:C108"/>
    <mergeCell ref="D107:D108"/>
    <mergeCell ref="F108:G108"/>
    <mergeCell ref="B112:B113"/>
    <mergeCell ref="C112:C113"/>
    <mergeCell ref="D111:F112"/>
    <mergeCell ref="G111:G112"/>
    <mergeCell ref="D113:F115"/>
    <mergeCell ref="G113:G115"/>
    <mergeCell ref="B103:B104"/>
    <mergeCell ref="C103:C104"/>
    <mergeCell ref="B105:B106"/>
    <mergeCell ref="B96:B97"/>
    <mergeCell ref="B98:B99"/>
    <mergeCell ref="C98:C99"/>
    <mergeCell ref="D98:D99"/>
    <mergeCell ref="F99:G99"/>
    <mergeCell ref="D102:F103"/>
    <mergeCell ref="G102:G103"/>
    <mergeCell ref="D104:F106"/>
    <mergeCell ref="G104:G106"/>
    <mergeCell ref="B89:B90"/>
    <mergeCell ref="C89:C90"/>
    <mergeCell ref="D89:D90"/>
    <mergeCell ref="F90:G90"/>
    <mergeCell ref="B94:B95"/>
    <mergeCell ref="C94:C95"/>
    <mergeCell ref="D93:F94"/>
    <mergeCell ref="G93:G94"/>
    <mergeCell ref="D95:F97"/>
    <mergeCell ref="G95:G97"/>
    <mergeCell ref="B76:B77"/>
    <mergeCell ref="C76:C77"/>
    <mergeCell ref="D75:F76"/>
    <mergeCell ref="G75:G76"/>
    <mergeCell ref="D77:F79"/>
    <mergeCell ref="G77:G79"/>
    <mergeCell ref="B85:B86"/>
    <mergeCell ref="C85:C86"/>
    <mergeCell ref="B87:B88"/>
    <mergeCell ref="B78:B79"/>
    <mergeCell ref="B80:B81"/>
    <mergeCell ref="C80:C81"/>
    <mergeCell ref="D80:D81"/>
    <mergeCell ref="F81:G81"/>
    <mergeCell ref="D84:F85"/>
    <mergeCell ref="G84:G85"/>
    <mergeCell ref="D86:F88"/>
    <mergeCell ref="G86:G88"/>
    <mergeCell ref="B69:B70"/>
    <mergeCell ref="B60:B61"/>
    <mergeCell ref="B62:B63"/>
    <mergeCell ref="C62:C63"/>
    <mergeCell ref="D62:D63"/>
    <mergeCell ref="F63:G63"/>
    <mergeCell ref="D68:F70"/>
    <mergeCell ref="G68:G70"/>
    <mergeCell ref="B71:B72"/>
    <mergeCell ref="C71:C72"/>
    <mergeCell ref="D71:D72"/>
    <mergeCell ref="F72:G72"/>
    <mergeCell ref="B44:B45"/>
    <mergeCell ref="C44:C45"/>
    <mergeCell ref="D44:D45"/>
    <mergeCell ref="F45:G45"/>
    <mergeCell ref="B36:B37"/>
    <mergeCell ref="C36:C37"/>
    <mergeCell ref="D36:D37"/>
    <mergeCell ref="F37:G37"/>
    <mergeCell ref="B67:B68"/>
    <mergeCell ref="C67:C68"/>
    <mergeCell ref="B14:B15"/>
    <mergeCell ref="C14:C15"/>
    <mergeCell ref="B32:B33"/>
    <mergeCell ref="C32:C33"/>
    <mergeCell ref="B18:B19"/>
    <mergeCell ref="C18:C19"/>
    <mergeCell ref="D18:D19"/>
    <mergeCell ref="D33:F35"/>
    <mergeCell ref="B58:B59"/>
    <mergeCell ref="C58:C59"/>
    <mergeCell ref="B34:B35"/>
    <mergeCell ref="B42:B43"/>
    <mergeCell ref="B53:B54"/>
    <mergeCell ref="C53:C54"/>
    <mergeCell ref="D53:D54"/>
    <mergeCell ref="F54:G54"/>
    <mergeCell ref="B49:B50"/>
    <mergeCell ref="C49:C50"/>
    <mergeCell ref="D39:F40"/>
    <mergeCell ref="G39:G40"/>
    <mergeCell ref="D41:F43"/>
    <mergeCell ref="G41:G43"/>
    <mergeCell ref="D48:F49"/>
    <mergeCell ref="B51:B52"/>
    <mergeCell ref="B23:B24"/>
    <mergeCell ref="C23:C24"/>
    <mergeCell ref="B16:B17"/>
    <mergeCell ref="B25:B26"/>
    <mergeCell ref="B27:B28"/>
    <mergeCell ref="C27:C28"/>
    <mergeCell ref="D27:D28"/>
    <mergeCell ref="F28:G28"/>
    <mergeCell ref="B40:B41"/>
    <mergeCell ref="C40:C41"/>
    <mergeCell ref="B5:B6"/>
    <mergeCell ref="C5:C6"/>
    <mergeCell ref="D6:F6"/>
    <mergeCell ref="B7:B8"/>
    <mergeCell ref="D7:D8"/>
    <mergeCell ref="F8:G8"/>
    <mergeCell ref="B9:B10"/>
    <mergeCell ref="C9:C10"/>
    <mergeCell ref="D9:D10"/>
    <mergeCell ref="F10:G10"/>
    <mergeCell ref="G1:G2"/>
    <mergeCell ref="G48:G49"/>
    <mergeCell ref="D50:F52"/>
    <mergeCell ref="G50:G52"/>
    <mergeCell ref="D57:F58"/>
    <mergeCell ref="G57:G58"/>
    <mergeCell ref="D59:F61"/>
    <mergeCell ref="G59:G61"/>
    <mergeCell ref="D66:F67"/>
    <mergeCell ref="G66:G67"/>
    <mergeCell ref="G33:G35"/>
    <mergeCell ref="D4:F5"/>
    <mergeCell ref="G4:G5"/>
    <mergeCell ref="D15:F17"/>
    <mergeCell ref="G15:G17"/>
    <mergeCell ref="D13:F14"/>
    <mergeCell ref="G13:G14"/>
    <mergeCell ref="D22:F23"/>
    <mergeCell ref="G22:G23"/>
    <mergeCell ref="D24:F26"/>
    <mergeCell ref="G24:G26"/>
    <mergeCell ref="D31:F32"/>
    <mergeCell ref="G31:G32"/>
    <mergeCell ref="F19:G19"/>
  </mergeCells>
  <phoneticPr fontId="2"/>
  <printOptions horizontalCentered="1"/>
  <pageMargins left="0.23622047244094491" right="0.23622047244094491" top="0.74803149606299213" bottom="0.74803149606299213" header="0.31496062992125984" footer="0.31496062992125984"/>
  <pageSetup paperSize="9" scale="81" fitToHeight="3" orientation="portrait" r:id="rId1"/>
  <rowBreaks count="2" manualBreakCount="2">
    <brk id="46" max="6" man="1"/>
    <brk id="91" max="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F451E-F713-4EC2-93F0-B589E48AF4A3}">
  <sheetPr codeName="Sheet11">
    <pageSetUpPr fitToPage="1"/>
  </sheetPr>
  <dimension ref="A1:K40"/>
  <sheetViews>
    <sheetView view="pageBreakPreview" zoomScaleNormal="100" zoomScaleSheetLayoutView="100" workbookViewId="0">
      <selection sqref="A1:K2"/>
    </sheetView>
  </sheetViews>
  <sheetFormatPr defaultRowHeight="18.75" x14ac:dyDescent="0.4"/>
  <cols>
    <col min="1" max="1" width="5.875" customWidth="1"/>
    <col min="2" max="2" width="10.875" customWidth="1"/>
    <col min="3" max="3" width="3.125" customWidth="1"/>
    <col min="4" max="4" width="7.875" customWidth="1"/>
    <col min="5" max="5" width="19.75" customWidth="1"/>
    <col min="6" max="6" width="6.125" customWidth="1"/>
    <col min="7" max="7" width="5.375" customWidth="1"/>
    <col min="8" max="8" width="11.625" customWidth="1"/>
    <col min="9" max="9" width="6.25" customWidth="1"/>
    <col min="10" max="10" width="9.75" customWidth="1"/>
    <col min="11" max="11" width="9.375" customWidth="1"/>
  </cols>
  <sheetData>
    <row r="1" spans="1:11" ht="18.75" customHeight="1" x14ac:dyDescent="0.4">
      <c r="A1" s="446" t="s">
        <v>174</v>
      </c>
      <c r="B1" s="446"/>
      <c r="C1" s="446"/>
      <c r="D1" s="446"/>
      <c r="E1" s="446"/>
      <c r="F1" s="446"/>
      <c r="G1" s="446"/>
      <c r="H1" s="446"/>
      <c r="I1" s="446"/>
      <c r="J1" s="446"/>
      <c r="K1" s="446"/>
    </row>
    <row r="2" spans="1:11" ht="18.75" customHeight="1" x14ac:dyDescent="0.4">
      <c r="A2" s="446"/>
      <c r="B2" s="446"/>
      <c r="C2" s="446"/>
      <c r="D2" s="446"/>
      <c r="E2" s="446"/>
      <c r="F2" s="446"/>
      <c r="G2" s="446"/>
      <c r="H2" s="446"/>
      <c r="I2" s="446"/>
      <c r="J2" s="446"/>
      <c r="K2" s="446"/>
    </row>
    <row r="3" spans="1:11" ht="30" x14ac:dyDescent="0.4">
      <c r="A3" s="446"/>
      <c r="B3" s="446"/>
      <c r="C3" s="446"/>
      <c r="D3" s="446"/>
      <c r="E3" s="446"/>
      <c r="F3" s="446"/>
      <c r="G3" s="446"/>
      <c r="H3" s="446"/>
      <c r="I3" s="446"/>
      <c r="J3" s="446"/>
      <c r="K3" s="446"/>
    </row>
    <row r="4" spans="1:11" ht="18.75" customHeight="1" x14ac:dyDescent="0.4">
      <c r="A4" s="447" t="s">
        <v>175</v>
      </c>
      <c r="B4" s="447"/>
      <c r="C4" s="447"/>
      <c r="D4" s="447"/>
      <c r="E4" s="447"/>
      <c r="F4" s="447"/>
      <c r="G4" s="447"/>
      <c r="H4" s="447"/>
      <c r="I4" s="447"/>
      <c r="J4" s="447"/>
      <c r="K4" s="447"/>
    </row>
    <row r="5" spans="1:11" ht="18.75" customHeight="1" x14ac:dyDescent="0.4">
      <c r="A5" s="447"/>
      <c r="B5" s="447"/>
      <c r="C5" s="447"/>
      <c r="D5" s="447"/>
      <c r="E5" s="447"/>
      <c r="F5" s="447"/>
      <c r="G5" s="447"/>
      <c r="H5" s="447"/>
      <c r="I5" s="447"/>
      <c r="J5" s="447"/>
      <c r="K5" s="447"/>
    </row>
    <row r="6" spans="1:11" ht="18.75" customHeight="1" x14ac:dyDescent="0.4">
      <c r="A6" s="447"/>
      <c r="B6" s="447"/>
      <c r="C6" s="447"/>
      <c r="D6" s="447"/>
      <c r="E6" s="447"/>
      <c r="F6" s="447"/>
      <c r="G6" s="447"/>
      <c r="H6" s="447"/>
      <c r="I6" s="447"/>
      <c r="J6" s="447"/>
      <c r="K6" s="447"/>
    </row>
    <row r="7" spans="1:11" ht="19.5" x14ac:dyDescent="0.4">
      <c r="A7" s="66"/>
      <c r="B7" s="66"/>
      <c r="C7" s="66"/>
      <c r="D7" s="66"/>
      <c r="E7" s="66"/>
      <c r="F7" s="66"/>
      <c r="G7" s="66"/>
      <c r="H7" s="66"/>
      <c r="I7" s="66"/>
      <c r="J7" s="66"/>
      <c r="K7" s="66"/>
    </row>
    <row r="9" spans="1:11" ht="30" customHeight="1" x14ac:dyDescent="0.5">
      <c r="A9" s="267" t="s">
        <v>188</v>
      </c>
      <c r="B9" s="451" t="str">
        <f>IF(OR(基本情報入力!$D$14="提携先（大和・セット割あり）",基本情報入力!$D$14="提携先（大和・セット割なし）"),"添付不可",IF(AND(基本情報入力!$B$11&gt;=基本情報入力!$A$72,基本情報入力!$B$11&lt;=基本情報入力!$A$74),基本情報入力!$B$11&amp;"の場合",""))</f>
        <v/>
      </c>
      <c r="C9" s="451"/>
      <c r="D9" s="451"/>
      <c r="E9" s="451"/>
      <c r="F9" s="451"/>
      <c r="G9" s="451"/>
      <c r="H9" s="451"/>
      <c r="I9" s="451"/>
      <c r="J9" s="451"/>
      <c r="K9" s="451"/>
    </row>
    <row r="10" spans="1:11" ht="10.5" customHeight="1" x14ac:dyDescent="0.4">
      <c r="A10" s="74"/>
      <c r="B10" s="74"/>
      <c r="C10" s="74"/>
      <c r="D10" s="74"/>
      <c r="E10" s="74"/>
      <c r="F10" s="74"/>
      <c r="G10" s="74"/>
      <c r="H10" s="74"/>
      <c r="I10" s="74"/>
      <c r="J10" s="74"/>
      <c r="K10" s="74"/>
    </row>
    <row r="11" spans="1:11" s="1" customFormat="1" ht="18.75" customHeight="1" x14ac:dyDescent="0.4">
      <c r="F11" s="2"/>
      <c r="G11" s="2"/>
      <c r="H11" s="2"/>
      <c r="I11" s="2"/>
      <c r="J11" s="2"/>
      <c r="K11" s="2"/>
    </row>
    <row r="12" spans="1:11" ht="24" x14ac:dyDescent="0.4">
      <c r="A12" s="448" t="s">
        <v>176</v>
      </c>
      <c r="B12" s="448"/>
      <c r="C12" s="67"/>
      <c r="D12" s="449" t="s">
        <v>177</v>
      </c>
      <c r="E12" s="449"/>
      <c r="F12" s="449"/>
      <c r="G12" s="449"/>
      <c r="H12" s="449"/>
      <c r="I12" s="449"/>
      <c r="J12" s="449"/>
      <c r="K12" s="449"/>
    </row>
    <row r="13" spans="1:11" ht="16.5" customHeight="1" x14ac:dyDescent="0.4">
      <c r="A13" s="450" t="str">
        <f>IFERROR(VLOOKUP(基本情報入力!$B$11,基本情報入力!$A$72:$E$176,2,FALSE),"")</f>
        <v/>
      </c>
      <c r="B13" s="450"/>
      <c r="C13" s="67"/>
      <c r="E13" s="68"/>
    </row>
    <row r="14" spans="1:11" ht="16.5" customHeight="1" x14ac:dyDescent="0.4">
      <c r="A14" s="450"/>
      <c r="B14" s="450"/>
      <c r="C14" s="67"/>
      <c r="D14" s="68"/>
      <c r="E14" s="68"/>
    </row>
    <row r="15" spans="1:11" ht="19.5" x14ac:dyDescent="0.4">
      <c r="C15" s="69"/>
      <c r="D15" s="68" t="s">
        <v>93</v>
      </c>
    </row>
    <row r="16" spans="1:11" s="71" customFormat="1" ht="26.1" customHeight="1" x14ac:dyDescent="0.4">
      <c r="A16" s="458" t="str">
        <f>IFERROR(IF(AND(ISNUMBER($A$13),ISNUMBER($A$24)),$A$13-$A$24,""),"")</f>
        <v/>
      </c>
      <c r="B16" s="459"/>
      <c r="C16" s="70"/>
      <c r="D16" s="455" t="s">
        <v>178</v>
      </c>
      <c r="E16" s="456"/>
      <c r="F16" s="456"/>
      <c r="G16" s="456"/>
      <c r="H16" s="456"/>
      <c r="I16" s="456"/>
      <c r="J16" s="456"/>
      <c r="K16" s="456"/>
    </row>
    <row r="17" spans="1:11" ht="18.75" customHeight="1" x14ac:dyDescent="0.4">
      <c r="A17" s="454" t="s">
        <v>202</v>
      </c>
      <c r="B17" s="454"/>
      <c r="C17" s="69"/>
      <c r="D17" s="465" t="s">
        <v>550</v>
      </c>
      <c r="E17" s="465"/>
      <c r="F17" s="465"/>
      <c r="G17" s="464" t="str">
        <f>IFERROR(VLOOKUP(基本情報入力!$B$11,基本情報入力!$A$72:$E$176,4,FALSE),"")</f>
        <v/>
      </c>
      <c r="H17" s="464"/>
      <c r="I17" s="460" t="s">
        <v>205</v>
      </c>
      <c r="J17" s="460"/>
      <c r="K17" s="460"/>
    </row>
    <row r="18" spans="1:11" ht="9.75" customHeight="1" x14ac:dyDescent="0.4">
      <c r="A18" s="454"/>
      <c r="B18" s="454"/>
      <c r="C18" s="69"/>
      <c r="D18" s="72"/>
      <c r="E18" s="72"/>
      <c r="F18" s="72"/>
      <c r="G18" s="72"/>
      <c r="H18" s="72"/>
      <c r="I18" s="72"/>
      <c r="J18" s="72"/>
    </row>
    <row r="19" spans="1:11" ht="26.1" customHeight="1" x14ac:dyDescent="0.4">
      <c r="A19" s="454"/>
      <c r="B19" s="454"/>
      <c r="C19" s="69"/>
      <c r="D19" s="455" t="s">
        <v>179</v>
      </c>
      <c r="E19" s="456"/>
      <c r="F19" s="456"/>
      <c r="G19" s="456"/>
      <c r="H19" s="456"/>
      <c r="I19" s="456"/>
      <c r="J19" s="456"/>
      <c r="K19" s="456"/>
    </row>
    <row r="20" spans="1:11" ht="18.75" customHeight="1" x14ac:dyDescent="0.4">
      <c r="A20" s="454"/>
      <c r="B20" s="454"/>
      <c r="C20" s="69"/>
      <c r="D20" s="75" t="s">
        <v>208</v>
      </c>
      <c r="E20" s="75"/>
      <c r="F20" s="75"/>
      <c r="G20" s="75"/>
      <c r="H20" s="458" t="str">
        <f>IFERROR($A$16-$G$17,"")</f>
        <v/>
      </c>
      <c r="I20" s="458"/>
      <c r="J20" s="461" t="s">
        <v>554</v>
      </c>
      <c r="K20" s="462"/>
    </row>
    <row r="21" spans="1:11" ht="18.75" customHeight="1" x14ac:dyDescent="0.4">
      <c r="A21" s="454"/>
      <c r="B21" s="454"/>
      <c r="C21" s="69"/>
      <c r="D21" s="462" t="s">
        <v>553</v>
      </c>
      <c r="E21" s="462"/>
      <c r="F21" s="462"/>
      <c r="G21" s="462"/>
      <c r="H21" s="462"/>
      <c r="I21" s="462"/>
      <c r="J21" s="462"/>
      <c r="K21" s="462"/>
    </row>
    <row r="22" spans="1:11" ht="19.5" customHeight="1" x14ac:dyDescent="0.4">
      <c r="B22" s="69"/>
      <c r="C22" s="17"/>
      <c r="K22" s="109" t="str">
        <f>IF(基本情報入力!$D$11="あり","※お値引き分は、残金請求時にご精算させていただきます。","")</f>
        <v/>
      </c>
    </row>
    <row r="23" spans="1:11" ht="19.5" x14ac:dyDescent="0.4">
      <c r="B23" s="69"/>
      <c r="C23" s="17"/>
      <c r="D23" s="68" t="s">
        <v>180</v>
      </c>
    </row>
    <row r="24" spans="1:11" ht="26.1" customHeight="1" x14ac:dyDescent="0.4">
      <c r="A24" s="445" t="str">
        <f>IFERROR(VLOOKUP(基本情報入力!$D$14,基本情報入力!$AF$72:$AG$176,2,FALSE),"")</f>
        <v/>
      </c>
      <c r="B24" s="445"/>
      <c r="C24" s="17"/>
      <c r="D24" s="457" t="s">
        <v>181</v>
      </c>
      <c r="E24" s="457"/>
      <c r="F24" s="457"/>
      <c r="G24" s="457"/>
      <c r="H24" s="457"/>
      <c r="I24" s="457"/>
      <c r="J24" s="457"/>
      <c r="K24" s="457"/>
    </row>
    <row r="25" spans="1:11" ht="21" customHeight="1" x14ac:dyDescent="0.4">
      <c r="A25" s="463" t="s">
        <v>548</v>
      </c>
      <c r="B25" s="463"/>
      <c r="C25" s="17"/>
      <c r="D25" s="443" t="s">
        <v>549</v>
      </c>
      <c r="E25" s="443"/>
      <c r="F25" s="443"/>
      <c r="G25" s="466" t="str">
        <f>$A$24</f>
        <v/>
      </c>
      <c r="H25" s="466"/>
      <c r="I25" s="444" t="s">
        <v>551</v>
      </c>
      <c r="J25" s="444"/>
      <c r="K25" s="444"/>
    </row>
    <row r="26" spans="1:11" x14ac:dyDescent="0.4">
      <c r="A26" s="463"/>
      <c r="B26" s="463"/>
      <c r="C26" s="17"/>
      <c r="D26" s="443" t="s">
        <v>552</v>
      </c>
      <c r="E26" s="443"/>
      <c r="F26" s="443"/>
      <c r="G26" s="443"/>
      <c r="H26" s="443"/>
      <c r="I26" s="443"/>
      <c r="J26" s="443"/>
      <c r="K26" s="443"/>
    </row>
    <row r="27" spans="1:11" x14ac:dyDescent="0.4">
      <c r="E27" s="452" t="s">
        <v>182</v>
      </c>
      <c r="F27" s="452"/>
      <c r="G27" s="452"/>
      <c r="H27" s="452"/>
      <c r="I27" s="452"/>
      <c r="J27" s="452"/>
      <c r="K27" s="452"/>
    </row>
    <row r="30" spans="1:11" ht="32.25" customHeight="1" x14ac:dyDescent="0.4">
      <c r="A30" s="453" t="s">
        <v>206</v>
      </c>
      <c r="B30" s="453"/>
      <c r="C30" s="453"/>
      <c r="D30" s="453"/>
      <c r="E30" s="453"/>
      <c r="F30" s="453"/>
      <c r="G30" s="453"/>
      <c r="H30" s="453"/>
      <c r="I30" s="453"/>
      <c r="J30" s="453"/>
      <c r="K30" s="453"/>
    </row>
    <row r="31" spans="1:11" ht="27" customHeight="1" x14ac:dyDescent="0.4">
      <c r="A31" s="453"/>
      <c r="B31" s="453"/>
      <c r="C31" s="453"/>
      <c r="D31" s="453"/>
      <c r="E31" s="453"/>
      <c r="F31" s="453"/>
      <c r="G31" s="453"/>
      <c r="H31" s="453"/>
      <c r="I31" s="453"/>
      <c r="J31" s="453"/>
      <c r="K31" s="453"/>
    </row>
    <row r="35" spans="1:8" x14ac:dyDescent="0.4">
      <c r="A35" s="73" t="s">
        <v>93</v>
      </c>
      <c r="H35" s="141" t="s">
        <v>180</v>
      </c>
    </row>
    <row r="36" spans="1:8" x14ac:dyDescent="0.4">
      <c r="A36" t="s">
        <v>183</v>
      </c>
      <c r="H36" s="142" t="str">
        <f>IFERROR(VLOOKUP(基本情報入力!$D$9,基本情報入力!$T$72:$Z$95,3,FALSE),基本情報入力!$V$72)</f>
        <v>103-0023</v>
      </c>
    </row>
    <row r="37" spans="1:8" x14ac:dyDescent="0.4">
      <c r="A37" t="s">
        <v>184</v>
      </c>
      <c r="H37" t="str">
        <f>IFERROR(VLOOKUP(基本情報入力!$D$9,基本情報入力!$T$72:$Z$95,4,FALSE),基本情報入力!$W$72)</f>
        <v>東京都中央区日本橋本町3‐2‐11</v>
      </c>
    </row>
    <row r="38" spans="1:8" x14ac:dyDescent="0.4">
      <c r="A38" t="s">
        <v>66</v>
      </c>
      <c r="H38" t="str">
        <f>IFERROR(VLOOKUP(基本情報入力!$D$9,基本情報入力!$T$72:$Z$95,5,FALSE),基本情報入力!$X$72)</f>
        <v>井門日本橋本町ビル4階</v>
      </c>
    </row>
    <row r="39" spans="1:8" x14ac:dyDescent="0.4">
      <c r="A39" t="s">
        <v>185</v>
      </c>
      <c r="H39" t="str">
        <f>IFERROR(VLOOKUP(基本情報入力!$D$9,基本情報入力!$T$72:$Z$95,2,FALSE),基本情報入力!$U$72)</f>
        <v>司法書士法人チェスター</v>
      </c>
    </row>
    <row r="40" spans="1:8" x14ac:dyDescent="0.4">
      <c r="A40" t="s">
        <v>186</v>
      </c>
      <c r="H40" s="269" t="str">
        <f>IFERROR(VLOOKUP(基本情報入力!$D$9,基本情報入力!$T$72:$Z$95,6,FALSE),基本情報入力!$Z$72)</f>
        <v>03-6869-5163</v>
      </c>
    </row>
  </sheetData>
  <sheetProtection sheet="1" objects="1" scenarios="1"/>
  <mergeCells count="26">
    <mergeCell ref="E27:K27"/>
    <mergeCell ref="A30:K31"/>
    <mergeCell ref="A17:B21"/>
    <mergeCell ref="D16:K16"/>
    <mergeCell ref="D19:K19"/>
    <mergeCell ref="D24:K24"/>
    <mergeCell ref="A16:B16"/>
    <mergeCell ref="I17:K17"/>
    <mergeCell ref="H20:I20"/>
    <mergeCell ref="J20:K20"/>
    <mergeCell ref="D21:K21"/>
    <mergeCell ref="A25:B26"/>
    <mergeCell ref="G17:H17"/>
    <mergeCell ref="D17:F17"/>
    <mergeCell ref="D26:K26"/>
    <mergeCell ref="G25:H25"/>
    <mergeCell ref="D25:F25"/>
    <mergeCell ref="I25:K25"/>
    <mergeCell ref="A24:B24"/>
    <mergeCell ref="A1:K2"/>
    <mergeCell ref="A4:K6"/>
    <mergeCell ref="A12:B12"/>
    <mergeCell ref="D12:K12"/>
    <mergeCell ref="A13:B14"/>
    <mergeCell ref="A3:K3"/>
    <mergeCell ref="B9:K9"/>
  </mergeCells>
  <phoneticPr fontId="2"/>
  <conditionalFormatting sqref="B9:K9">
    <cfRule type="cellIs" dxfId="0" priority="1" operator="equal">
      <formula>"添付不可"</formula>
    </cfRule>
  </conditionalFormatting>
  <pageMargins left="0.7" right="0.7" top="0.75" bottom="0.75" header="0.3" footer="0.3"/>
  <pageSetup paperSize="9" scale="83"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A7D32-1FD3-4CC5-9002-EE6C052973BE}">
  <sheetPr codeName="Sheet12"/>
  <dimension ref="A1:K36"/>
  <sheetViews>
    <sheetView view="pageBreakPreview" zoomScale="60" zoomScaleNormal="100" workbookViewId="0">
      <selection sqref="A1:K2"/>
    </sheetView>
  </sheetViews>
  <sheetFormatPr defaultRowHeight="18.75" x14ac:dyDescent="0.4"/>
  <cols>
    <col min="3" max="3" width="4.875" customWidth="1"/>
    <col min="4" max="11" width="9.125" customWidth="1"/>
  </cols>
  <sheetData>
    <row r="1" spans="1:11" ht="18.75" customHeight="1" x14ac:dyDescent="0.4">
      <c r="A1" s="446" t="s">
        <v>174</v>
      </c>
      <c r="B1" s="446"/>
      <c r="C1" s="446"/>
      <c r="D1" s="446"/>
      <c r="E1" s="446"/>
      <c r="F1" s="446"/>
      <c r="G1" s="446"/>
      <c r="H1" s="446"/>
      <c r="I1" s="446"/>
      <c r="J1" s="446"/>
      <c r="K1" s="446"/>
    </row>
    <row r="2" spans="1:11" ht="18.75" customHeight="1" x14ac:dyDescent="0.4">
      <c r="A2" s="446"/>
      <c r="B2" s="446"/>
      <c r="C2" s="446"/>
      <c r="D2" s="446"/>
      <c r="E2" s="446"/>
      <c r="F2" s="446"/>
      <c r="G2" s="446"/>
      <c r="H2" s="446"/>
      <c r="I2" s="446"/>
      <c r="J2" s="446"/>
      <c r="K2" s="446"/>
    </row>
    <row r="3" spans="1:11" ht="30" x14ac:dyDescent="0.4">
      <c r="A3" s="65"/>
      <c r="B3" s="65"/>
      <c r="C3" s="65"/>
      <c r="D3" s="65"/>
      <c r="E3" s="65"/>
      <c r="F3" s="65"/>
      <c r="G3" s="65"/>
      <c r="H3" s="65"/>
      <c r="I3" s="65"/>
      <c r="J3" s="65"/>
      <c r="K3" s="65"/>
    </row>
    <row r="4" spans="1:11" ht="18.75" customHeight="1" x14ac:dyDescent="0.4">
      <c r="A4" s="447" t="s">
        <v>175</v>
      </c>
      <c r="B4" s="447"/>
      <c r="C4" s="447"/>
      <c r="D4" s="447"/>
      <c r="E4" s="447"/>
      <c r="F4" s="447"/>
      <c r="G4" s="447"/>
      <c r="H4" s="447"/>
      <c r="I4" s="447"/>
      <c r="J4" s="447"/>
      <c r="K4" s="447"/>
    </row>
    <row r="5" spans="1:11" ht="18.75" customHeight="1" x14ac:dyDescent="0.4">
      <c r="A5" s="447"/>
      <c r="B5" s="447"/>
      <c r="C5" s="447"/>
      <c r="D5" s="447"/>
      <c r="E5" s="447"/>
      <c r="F5" s="447"/>
      <c r="G5" s="447"/>
      <c r="H5" s="447"/>
      <c r="I5" s="447"/>
      <c r="J5" s="447"/>
      <c r="K5" s="447"/>
    </row>
    <row r="6" spans="1:11" ht="18.75" customHeight="1" x14ac:dyDescent="0.4">
      <c r="A6" s="447"/>
      <c r="B6" s="447"/>
      <c r="C6" s="447"/>
      <c r="D6" s="447"/>
      <c r="E6" s="447"/>
      <c r="F6" s="447"/>
      <c r="G6" s="447"/>
      <c r="H6" s="447"/>
      <c r="I6" s="447"/>
      <c r="J6" s="447"/>
      <c r="K6" s="447"/>
    </row>
    <row r="7" spans="1:11" ht="19.5" x14ac:dyDescent="0.4">
      <c r="A7" s="66"/>
      <c r="B7" s="66"/>
      <c r="C7" s="66"/>
      <c r="D7" s="66"/>
      <c r="E7" s="66"/>
      <c r="F7" s="66"/>
      <c r="G7" s="66"/>
      <c r="H7" s="66"/>
      <c r="I7" s="66"/>
      <c r="J7" s="66"/>
      <c r="K7" s="66"/>
    </row>
    <row r="8" spans="1:11" ht="92.25" customHeight="1" x14ac:dyDescent="0.4">
      <c r="A8" s="66"/>
      <c r="B8" s="66"/>
      <c r="C8" s="66"/>
      <c r="D8" s="66"/>
      <c r="E8" s="66"/>
      <c r="F8" s="66"/>
      <c r="G8" s="66"/>
      <c r="H8" s="66"/>
      <c r="I8" s="66"/>
      <c r="J8" s="66"/>
      <c r="K8" s="66"/>
    </row>
    <row r="9" spans="1:11" ht="24" x14ac:dyDescent="0.4">
      <c r="D9" s="468" t="s">
        <v>177</v>
      </c>
      <c r="E9" s="468"/>
      <c r="F9" s="468"/>
      <c r="G9" s="468"/>
      <c r="H9" s="468"/>
      <c r="I9" s="468"/>
      <c r="J9" s="468"/>
      <c r="K9" s="468"/>
    </row>
    <row r="10" spans="1:11" ht="21" customHeight="1" x14ac:dyDescent="0.4">
      <c r="A10" s="131"/>
      <c r="B10" s="131"/>
      <c r="E10" s="68"/>
    </row>
    <row r="11" spans="1:11" s="71" customFormat="1" ht="16.5" customHeight="1" x14ac:dyDescent="0.4">
      <c r="A11" s="132"/>
      <c r="B11" s="133"/>
      <c r="C11" s="70"/>
      <c r="D11" s="134"/>
      <c r="E11" s="135"/>
      <c r="F11" s="135"/>
      <c r="G11" s="135"/>
      <c r="H11" s="136"/>
      <c r="I11" s="136"/>
      <c r="J11" s="136"/>
      <c r="K11" s="136"/>
    </row>
    <row r="12" spans="1:11" ht="24.75" customHeight="1" x14ac:dyDescent="0.4">
      <c r="A12" s="137"/>
      <c r="B12" s="138"/>
      <c r="C12" s="69"/>
      <c r="D12" s="139"/>
      <c r="E12" s="139"/>
      <c r="F12" s="139"/>
      <c r="G12" s="139"/>
      <c r="H12" s="140"/>
      <c r="I12" s="140"/>
      <c r="J12" s="140"/>
      <c r="K12" s="140"/>
    </row>
    <row r="13" spans="1:11" ht="15" customHeight="1" x14ac:dyDescent="0.4">
      <c r="A13" s="69"/>
      <c r="B13" s="69"/>
      <c r="C13" s="69"/>
      <c r="D13" s="68"/>
      <c r="E13" s="72"/>
      <c r="F13" s="72"/>
      <c r="G13" s="72"/>
      <c r="H13" s="72"/>
      <c r="I13" s="72"/>
      <c r="J13" s="72"/>
    </row>
    <row r="14" spans="1:11" ht="15" customHeight="1" x14ac:dyDescent="0.4">
      <c r="A14" s="69"/>
      <c r="B14" s="69"/>
      <c r="C14" s="69"/>
      <c r="D14" s="68" t="s">
        <v>93</v>
      </c>
      <c r="E14" s="72"/>
      <c r="F14" s="72"/>
      <c r="G14" s="72"/>
      <c r="H14" s="72"/>
      <c r="I14" s="72"/>
      <c r="J14" s="72"/>
    </row>
    <row r="15" spans="1:11" ht="24" customHeight="1" x14ac:dyDescent="0.4">
      <c r="A15" s="454" t="s">
        <v>312</v>
      </c>
      <c r="B15" s="454"/>
      <c r="C15" s="69"/>
      <c r="D15" s="455" t="s">
        <v>179</v>
      </c>
      <c r="E15" s="456"/>
      <c r="F15" s="456"/>
      <c r="G15" s="456"/>
      <c r="H15" s="456"/>
      <c r="I15" s="456"/>
      <c r="J15" s="456"/>
      <c r="K15" s="456"/>
    </row>
    <row r="16" spans="1:11" ht="18.75" customHeight="1" x14ac:dyDescent="0.4">
      <c r="A16" s="454"/>
      <c r="B16" s="454"/>
      <c r="C16" s="69"/>
      <c r="D16" s="469" t="s">
        <v>313</v>
      </c>
      <c r="E16" s="469"/>
      <c r="F16" s="469"/>
      <c r="G16" s="469"/>
      <c r="H16" s="469"/>
      <c r="I16" s="469"/>
      <c r="J16" s="469"/>
      <c r="K16" s="469"/>
    </row>
    <row r="17" spans="1:11" ht="33" customHeight="1" x14ac:dyDescent="0.4">
      <c r="A17" s="454"/>
      <c r="B17" s="454"/>
      <c r="C17" s="69"/>
      <c r="D17" s="469"/>
      <c r="E17" s="469"/>
      <c r="F17" s="469"/>
      <c r="G17" s="469"/>
      <c r="H17" s="469"/>
      <c r="I17" s="469"/>
      <c r="J17" s="469"/>
      <c r="K17" s="469"/>
    </row>
    <row r="18" spans="1:11" ht="15" customHeight="1" x14ac:dyDescent="0.4">
      <c r="B18" s="69"/>
      <c r="C18" s="17"/>
      <c r="D18" s="68"/>
      <c r="K18" s="109" t="str">
        <f>IF(基本情報入力!$D$11="あり","※お値引き分は、残金請求時にご精算させていただきます。","")</f>
        <v/>
      </c>
    </row>
    <row r="19" spans="1:11" ht="15" customHeight="1" x14ac:dyDescent="0.4">
      <c r="B19" s="69"/>
      <c r="C19" s="17"/>
      <c r="D19" s="68" t="s">
        <v>180</v>
      </c>
    </row>
    <row r="20" spans="1:11" ht="26.1" customHeight="1" x14ac:dyDescent="0.4">
      <c r="A20" s="463" t="s">
        <v>314</v>
      </c>
      <c r="B20" s="463"/>
      <c r="C20" s="17"/>
      <c r="D20" s="457" t="s">
        <v>181</v>
      </c>
      <c r="E20" s="457"/>
      <c r="F20" s="457"/>
      <c r="G20" s="457"/>
      <c r="H20" s="457"/>
      <c r="I20" s="457"/>
      <c r="J20" s="457"/>
      <c r="K20" s="457"/>
    </row>
    <row r="21" spans="1:11" x14ac:dyDescent="0.4">
      <c r="A21" s="463"/>
      <c r="B21" s="463"/>
      <c r="C21" s="17"/>
      <c r="D21" s="467" t="s">
        <v>315</v>
      </c>
      <c r="E21" s="467"/>
      <c r="F21" s="467"/>
      <c r="G21" s="467"/>
      <c r="H21" s="467"/>
      <c r="I21" s="467"/>
      <c r="J21" s="467"/>
      <c r="K21" s="467"/>
    </row>
    <row r="22" spans="1:11" x14ac:dyDescent="0.4">
      <c r="A22" s="463"/>
      <c r="B22" s="463"/>
      <c r="C22" s="17"/>
      <c r="D22" s="467"/>
      <c r="E22" s="467"/>
      <c r="F22" s="467"/>
      <c r="G22" s="467"/>
      <c r="H22" s="467"/>
      <c r="I22" s="467"/>
      <c r="J22" s="467"/>
      <c r="K22" s="467"/>
    </row>
    <row r="23" spans="1:11" x14ac:dyDescent="0.4">
      <c r="E23" s="452" t="s">
        <v>182</v>
      </c>
      <c r="F23" s="452"/>
      <c r="G23" s="452"/>
      <c r="H23" s="452"/>
      <c r="I23" s="452"/>
      <c r="J23" s="452"/>
      <c r="K23" s="452"/>
    </row>
    <row r="26" spans="1:11" ht="32.25" customHeight="1" x14ac:dyDescent="0.4">
      <c r="A26" s="453" t="s">
        <v>317</v>
      </c>
      <c r="B26" s="453"/>
      <c r="C26" s="453"/>
      <c r="D26" s="453"/>
      <c r="E26" s="453"/>
      <c r="F26" s="453"/>
      <c r="G26" s="453"/>
      <c r="H26" s="453"/>
      <c r="I26" s="453"/>
      <c r="J26" s="453"/>
      <c r="K26" s="453"/>
    </row>
    <row r="27" spans="1:11" ht="27" customHeight="1" x14ac:dyDescent="0.4">
      <c r="A27" s="453"/>
      <c r="B27" s="453"/>
      <c r="C27" s="453"/>
      <c r="D27" s="453"/>
      <c r="E27" s="453"/>
      <c r="F27" s="453"/>
      <c r="G27" s="453"/>
      <c r="H27" s="453"/>
      <c r="I27" s="453"/>
      <c r="J27" s="453"/>
      <c r="K27" s="453"/>
    </row>
    <row r="31" spans="1:11" x14ac:dyDescent="0.4">
      <c r="A31" s="73" t="s">
        <v>93</v>
      </c>
      <c r="H31" s="141" t="s">
        <v>180</v>
      </c>
    </row>
    <row r="32" spans="1:11" x14ac:dyDescent="0.4">
      <c r="A32" t="s">
        <v>183</v>
      </c>
      <c r="H32" s="142" t="e">
        <f>VLOOKUP(基本情報入力!$D$9,基本情報入力!$T$72:$Z$95,3,FALSE)</f>
        <v>#N/A</v>
      </c>
    </row>
    <row r="33" spans="1:8" x14ac:dyDescent="0.4">
      <c r="A33" t="s">
        <v>184</v>
      </c>
      <c r="H33" t="e">
        <f>VLOOKUP(基本情報入力!$D$9,基本情報入力!$T$72:$Z$95,4,FALSE)</f>
        <v>#N/A</v>
      </c>
    </row>
    <row r="34" spans="1:8" x14ac:dyDescent="0.4">
      <c r="A34" t="s">
        <v>66</v>
      </c>
      <c r="H34" t="e">
        <f>VLOOKUP(基本情報入力!$D$9,基本情報入力!$T$72:$Z$95,5,FALSE)</f>
        <v>#N/A</v>
      </c>
    </row>
    <row r="35" spans="1:8" x14ac:dyDescent="0.4">
      <c r="A35" t="s">
        <v>185</v>
      </c>
      <c r="H35" t="e">
        <f>VLOOKUP(基本情報入力!$D$9,基本情報入力!$T$72:$Z$95,2,FALSE)</f>
        <v>#N/A</v>
      </c>
    </row>
    <row r="36" spans="1:8" x14ac:dyDescent="0.4">
      <c r="A36" t="s">
        <v>186</v>
      </c>
      <c r="H36" t="e">
        <f>VLOOKUP(基本情報入力!$D$9,基本情報入力!$T$72:$Z$95,6,FALSE)</f>
        <v>#N/A</v>
      </c>
    </row>
  </sheetData>
  <sheetProtection sheet="1" objects="1" scenarios="1"/>
  <mergeCells count="11">
    <mergeCell ref="A1:K2"/>
    <mergeCell ref="A4:K6"/>
    <mergeCell ref="D9:K9"/>
    <mergeCell ref="A15:B17"/>
    <mergeCell ref="D15:K15"/>
    <mergeCell ref="D16:K17"/>
    <mergeCell ref="A20:B22"/>
    <mergeCell ref="D20:K20"/>
    <mergeCell ref="D21:K22"/>
    <mergeCell ref="E23:K23"/>
    <mergeCell ref="A26:K27"/>
  </mergeCells>
  <phoneticPr fontId="2"/>
  <pageMargins left="0.7" right="0.7" top="0.75" bottom="0.75" header="0.3" footer="0.3"/>
  <pageSetup paperSize="9" scale="83"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9CA80-9953-4221-90CB-E342BD2641ED}">
  <sheetPr codeName="Sheet4"/>
  <dimension ref="A1:CA422"/>
  <sheetViews>
    <sheetView workbookViewId="0">
      <selection sqref="A1:G2"/>
    </sheetView>
  </sheetViews>
  <sheetFormatPr defaultColWidth="9" defaultRowHeight="18.75" x14ac:dyDescent="0.4"/>
  <cols>
    <col min="1" max="49" width="2" style="174" customWidth="1"/>
    <col min="50" max="79" width="2.5" style="174" customWidth="1"/>
    <col min="80" max="109" width="2.5" style="185" customWidth="1"/>
    <col min="110" max="16384" width="9" style="185"/>
  </cols>
  <sheetData>
    <row r="1" spans="1:50" ht="13.5" customHeight="1" x14ac:dyDescent="0.4">
      <c r="A1" s="478" t="s">
        <v>367</v>
      </c>
      <c r="B1" s="479"/>
      <c r="C1" s="479"/>
      <c r="D1" s="479"/>
      <c r="E1" s="479"/>
      <c r="F1" s="479"/>
      <c r="G1" s="480"/>
      <c r="H1" s="170"/>
      <c r="I1" s="484" t="s">
        <v>368</v>
      </c>
      <c r="J1" s="485"/>
      <c r="K1" s="485"/>
      <c r="L1" s="485"/>
      <c r="M1" s="486"/>
      <c r="N1" s="484" t="s">
        <v>369</v>
      </c>
      <c r="O1" s="485"/>
      <c r="P1" s="485"/>
      <c r="Q1" s="485"/>
      <c r="R1" s="485"/>
      <c r="S1" s="485"/>
      <c r="T1" s="485"/>
      <c r="U1" s="485"/>
      <c r="V1" s="486"/>
      <c r="W1" s="472" t="s">
        <v>370</v>
      </c>
      <c r="X1" s="473"/>
      <c r="Y1" s="473"/>
      <c r="Z1" s="473"/>
      <c r="AA1" s="473"/>
      <c r="AB1" s="473"/>
      <c r="AC1" s="473"/>
      <c r="AD1" s="473"/>
      <c r="AE1" s="473"/>
      <c r="AF1" s="474"/>
      <c r="AG1" s="472" t="s">
        <v>371</v>
      </c>
      <c r="AH1" s="473"/>
      <c r="AI1" s="473"/>
      <c r="AJ1" s="473"/>
      <c r="AK1" s="473"/>
      <c r="AL1" s="474"/>
      <c r="AM1" s="472" t="s">
        <v>372</v>
      </c>
      <c r="AN1" s="473"/>
      <c r="AO1" s="473"/>
      <c r="AP1" s="474"/>
      <c r="AQ1" s="171"/>
      <c r="AR1" s="172"/>
      <c r="AS1" s="172"/>
      <c r="AT1" s="172"/>
      <c r="AU1" s="172"/>
      <c r="AV1" s="172"/>
      <c r="AW1" s="172"/>
      <c r="AX1" s="173"/>
    </row>
    <row r="2" spans="1:50" ht="13.5" customHeight="1" thickBot="1" x14ac:dyDescent="0.45">
      <c r="A2" s="481"/>
      <c r="B2" s="482"/>
      <c r="C2" s="482"/>
      <c r="D2" s="482"/>
      <c r="E2" s="482"/>
      <c r="F2" s="482"/>
      <c r="G2" s="483"/>
      <c r="H2" s="170"/>
      <c r="I2" s="475">
        <f>基本情報入力!$B$9</f>
        <v>0</v>
      </c>
      <c r="J2" s="476"/>
      <c r="K2" s="476"/>
      <c r="L2" s="476"/>
      <c r="M2" s="477"/>
      <c r="N2" s="475">
        <f>基本情報入力!$B$10</f>
        <v>0</v>
      </c>
      <c r="O2" s="476"/>
      <c r="P2" s="476"/>
      <c r="Q2" s="476"/>
      <c r="R2" s="476"/>
      <c r="S2" s="476"/>
      <c r="T2" s="476"/>
      <c r="U2" s="476"/>
      <c r="V2" s="477"/>
      <c r="W2" s="475">
        <f>基本情報入力!$C$23</f>
        <v>0</v>
      </c>
      <c r="X2" s="476"/>
      <c r="Y2" s="476"/>
      <c r="Z2" s="476"/>
      <c r="AA2" s="476"/>
      <c r="AB2" s="476"/>
      <c r="AC2" s="476"/>
      <c r="AD2" s="476"/>
      <c r="AE2" s="476"/>
      <c r="AF2" s="477"/>
      <c r="AG2" s="475">
        <f>基本情報入力!$B$11</f>
        <v>0</v>
      </c>
      <c r="AH2" s="476"/>
      <c r="AI2" s="476"/>
      <c r="AJ2" s="476"/>
      <c r="AK2" s="476"/>
      <c r="AL2" s="477"/>
      <c r="AM2" s="475" t="str">
        <f>基本情報入力!B13&amp;"・"&amp;基本情報入力!D13</f>
        <v>・</v>
      </c>
      <c r="AN2" s="476"/>
      <c r="AO2" s="476"/>
      <c r="AP2" s="477"/>
      <c r="AQ2" s="171"/>
      <c r="AR2" s="172"/>
      <c r="AS2" s="172"/>
      <c r="AT2" s="172"/>
      <c r="AU2" s="172"/>
      <c r="AV2" s="172"/>
      <c r="AW2" s="172"/>
      <c r="AX2" s="173"/>
    </row>
    <row r="3" spans="1:50" ht="13.5" customHeight="1" thickTop="1" x14ac:dyDescent="0.4">
      <c r="A3" s="175"/>
      <c r="B3" s="175"/>
      <c r="C3" s="175"/>
      <c r="D3" s="175"/>
      <c r="E3" s="175"/>
      <c r="F3" s="175"/>
      <c r="G3" s="175"/>
      <c r="H3" s="170"/>
      <c r="I3" s="176"/>
      <c r="J3" s="176"/>
      <c r="K3" s="176"/>
      <c r="L3" s="176"/>
      <c r="M3" s="176"/>
      <c r="N3" s="177"/>
      <c r="O3" s="177"/>
      <c r="P3" s="177"/>
      <c r="Q3" s="177"/>
      <c r="R3" s="177"/>
      <c r="S3" s="177"/>
      <c r="T3" s="177"/>
      <c r="U3" s="177"/>
      <c r="V3" s="177"/>
      <c r="W3" s="178"/>
      <c r="X3" s="178"/>
      <c r="Y3" s="178"/>
      <c r="Z3" s="178"/>
      <c r="AA3" s="178"/>
      <c r="AB3" s="178"/>
      <c r="AC3" s="178"/>
      <c r="AD3" s="178"/>
      <c r="AE3" s="178"/>
      <c r="AF3" s="178"/>
      <c r="AG3" s="178"/>
      <c r="AH3" s="178"/>
      <c r="AI3" s="178"/>
      <c r="AJ3" s="178"/>
      <c r="AK3" s="178"/>
      <c r="AL3" s="178"/>
      <c r="AM3" s="178"/>
      <c r="AN3" s="178"/>
      <c r="AO3" s="178"/>
      <c r="AP3" s="178"/>
      <c r="AQ3" s="172"/>
      <c r="AR3" s="172"/>
      <c r="AS3" s="172"/>
      <c r="AT3" s="172"/>
      <c r="AU3" s="172"/>
      <c r="AV3" s="172"/>
      <c r="AW3" s="172"/>
      <c r="AX3" s="173"/>
    </row>
    <row r="4" spans="1:50" ht="13.5" customHeight="1" x14ac:dyDescent="0.4">
      <c r="A4" s="179"/>
      <c r="B4" s="179"/>
      <c r="C4" s="175"/>
      <c r="D4" s="175"/>
      <c r="E4" s="175"/>
      <c r="F4" s="175"/>
      <c r="G4" s="175"/>
      <c r="H4" s="175"/>
      <c r="I4" s="176"/>
      <c r="J4" s="176"/>
      <c r="K4" s="176"/>
      <c r="L4" s="176"/>
      <c r="M4" s="176"/>
      <c r="N4" s="176"/>
      <c r="O4" s="176"/>
      <c r="P4" s="176"/>
      <c r="Q4" s="176"/>
      <c r="R4" s="176"/>
      <c r="S4" s="176"/>
      <c r="T4" s="176"/>
      <c r="U4" s="176"/>
      <c r="V4" s="180"/>
      <c r="W4" s="180"/>
      <c r="X4" s="176"/>
      <c r="Y4" s="181"/>
      <c r="Z4" s="181"/>
      <c r="AA4" s="181"/>
      <c r="AB4" s="181"/>
      <c r="AC4" s="181"/>
      <c r="AD4" s="181"/>
      <c r="AE4" s="181"/>
      <c r="AF4" s="181"/>
      <c r="AG4" s="181"/>
      <c r="AH4" s="181"/>
      <c r="AI4" s="181"/>
      <c r="AJ4" s="181"/>
      <c r="AK4" s="181"/>
      <c r="AL4" s="181"/>
      <c r="AM4" s="181"/>
      <c r="AN4" s="181"/>
      <c r="AO4" s="181"/>
      <c r="AP4" s="181"/>
      <c r="AQ4" s="172"/>
      <c r="AR4" s="172"/>
      <c r="AS4" s="172"/>
      <c r="AT4" s="172"/>
      <c r="AU4" s="172"/>
      <c r="AV4" s="172"/>
      <c r="AW4" s="172"/>
      <c r="AX4" s="173"/>
    </row>
    <row r="5" spans="1:50" ht="13.5" customHeight="1" x14ac:dyDescent="0.4">
      <c r="A5" s="470" t="s">
        <v>373</v>
      </c>
      <c r="B5" s="470"/>
      <c r="C5" s="470"/>
      <c r="D5" s="470"/>
      <c r="E5" s="470"/>
      <c r="F5" s="470"/>
      <c r="G5" s="470"/>
      <c r="H5" s="470"/>
      <c r="I5" s="470"/>
      <c r="J5" s="470"/>
      <c r="K5" s="470"/>
      <c r="L5" s="470"/>
      <c r="M5" s="470"/>
      <c r="N5" s="470"/>
      <c r="O5" s="470"/>
      <c r="P5" s="470"/>
      <c r="Q5" s="470"/>
      <c r="R5" s="470"/>
      <c r="S5" s="470"/>
      <c r="T5" s="470"/>
      <c r="U5" s="470"/>
      <c r="V5" s="470" t="s">
        <v>374</v>
      </c>
      <c r="W5" s="470"/>
      <c r="X5" s="470"/>
      <c r="Y5" s="470"/>
      <c r="Z5" s="470"/>
      <c r="AA5" s="470"/>
      <c r="AB5" s="470"/>
      <c r="AC5" s="470"/>
      <c r="AD5" s="470"/>
      <c r="AE5" s="470"/>
      <c r="AF5" s="470"/>
      <c r="AG5" s="470"/>
      <c r="AH5" s="470"/>
      <c r="AI5" s="470"/>
      <c r="AJ5" s="470"/>
      <c r="AK5" s="470"/>
      <c r="AL5" s="470"/>
      <c r="AM5" s="470"/>
      <c r="AN5" s="470"/>
      <c r="AO5" s="470"/>
      <c r="AP5" s="470"/>
      <c r="AQ5" s="172"/>
      <c r="AR5" s="172"/>
      <c r="AS5" s="172"/>
      <c r="AT5" s="172"/>
      <c r="AU5" s="172"/>
      <c r="AV5" s="172"/>
      <c r="AW5" s="172"/>
      <c r="AX5" s="173"/>
    </row>
    <row r="6" spans="1:50" ht="13.5" customHeight="1" x14ac:dyDescent="0.4">
      <c r="A6" s="471"/>
      <c r="B6" s="471"/>
      <c r="C6" s="471"/>
      <c r="D6" s="471"/>
      <c r="E6" s="471"/>
      <c r="F6" s="471"/>
      <c r="G6" s="471"/>
      <c r="H6" s="471"/>
      <c r="I6" s="471"/>
      <c r="J6" s="471"/>
      <c r="K6" s="471"/>
      <c r="L6" s="471"/>
      <c r="M6" s="471"/>
      <c r="N6" s="471"/>
      <c r="O6" s="471"/>
      <c r="P6" s="471"/>
      <c r="Q6" s="471"/>
      <c r="R6" s="471"/>
      <c r="S6" s="471"/>
      <c r="T6" s="471"/>
      <c r="U6" s="471"/>
      <c r="V6" s="471"/>
      <c r="W6" s="471"/>
      <c r="X6" s="471"/>
      <c r="Y6" s="471"/>
      <c r="Z6" s="471"/>
      <c r="AA6" s="471"/>
      <c r="AB6" s="471"/>
      <c r="AC6" s="471"/>
      <c r="AD6" s="471"/>
      <c r="AE6" s="471"/>
      <c r="AF6" s="471"/>
      <c r="AG6" s="471"/>
      <c r="AH6" s="471"/>
      <c r="AI6" s="471"/>
      <c r="AJ6" s="471"/>
      <c r="AK6" s="471"/>
      <c r="AL6" s="471"/>
      <c r="AM6" s="471"/>
      <c r="AN6" s="471"/>
      <c r="AO6" s="471"/>
      <c r="AP6" s="471"/>
      <c r="AQ6" s="172"/>
      <c r="AR6" s="172"/>
      <c r="AS6" s="172"/>
      <c r="AT6" s="172"/>
      <c r="AU6" s="172"/>
      <c r="AV6" s="172"/>
      <c r="AW6" s="172"/>
      <c r="AX6" s="173"/>
    </row>
    <row r="7" spans="1:50" s="174" customFormat="1" ht="13.5" customHeight="1" x14ac:dyDescent="0.4">
      <c r="A7" s="471"/>
      <c r="B7" s="471"/>
      <c r="C7" s="471"/>
      <c r="D7" s="471"/>
      <c r="E7" s="471"/>
      <c r="F7" s="471"/>
      <c r="G7" s="471"/>
      <c r="H7" s="471"/>
      <c r="I7" s="471"/>
      <c r="J7" s="471"/>
      <c r="K7" s="471"/>
      <c r="L7" s="471"/>
      <c r="M7" s="471"/>
      <c r="N7" s="471"/>
      <c r="O7" s="471"/>
      <c r="P7" s="471"/>
      <c r="Q7" s="471"/>
      <c r="R7" s="471"/>
      <c r="S7" s="471"/>
      <c r="T7" s="471"/>
      <c r="U7" s="471"/>
      <c r="V7" s="471"/>
      <c r="W7" s="471"/>
      <c r="X7" s="471"/>
      <c r="Y7" s="471"/>
      <c r="Z7" s="471"/>
      <c r="AA7" s="471"/>
      <c r="AB7" s="471"/>
      <c r="AC7" s="471"/>
      <c r="AD7" s="471"/>
      <c r="AE7" s="471"/>
      <c r="AF7" s="471"/>
      <c r="AG7" s="471"/>
      <c r="AH7" s="471"/>
      <c r="AI7" s="471"/>
      <c r="AJ7" s="471"/>
      <c r="AK7" s="471"/>
      <c r="AL7" s="471"/>
      <c r="AM7" s="471"/>
      <c r="AN7" s="471"/>
      <c r="AO7" s="471"/>
      <c r="AP7" s="471"/>
      <c r="AQ7" s="172"/>
      <c r="AR7" s="172"/>
      <c r="AS7" s="172"/>
      <c r="AT7" s="172"/>
      <c r="AU7" s="172"/>
      <c r="AV7" s="172"/>
      <c r="AW7" s="172"/>
      <c r="AX7" s="173"/>
    </row>
    <row r="8" spans="1:50" s="174" customFormat="1" ht="13.5" customHeight="1" x14ac:dyDescent="0.4">
      <c r="A8" s="471"/>
      <c r="B8" s="471"/>
      <c r="C8" s="471"/>
      <c r="D8" s="471"/>
      <c r="E8" s="471"/>
      <c r="F8" s="471"/>
      <c r="G8" s="471"/>
      <c r="H8" s="471"/>
      <c r="I8" s="471"/>
      <c r="J8" s="471"/>
      <c r="K8" s="471"/>
      <c r="L8" s="471"/>
      <c r="M8" s="471"/>
      <c r="N8" s="471"/>
      <c r="O8" s="471"/>
      <c r="P8" s="471"/>
      <c r="Q8" s="471"/>
      <c r="R8" s="471"/>
      <c r="S8" s="471"/>
      <c r="T8" s="471"/>
      <c r="U8" s="471"/>
      <c r="V8" s="471"/>
      <c r="W8" s="471"/>
      <c r="X8" s="471"/>
      <c r="Y8" s="471"/>
      <c r="Z8" s="471"/>
      <c r="AA8" s="471"/>
      <c r="AB8" s="471"/>
      <c r="AC8" s="471"/>
      <c r="AD8" s="471"/>
      <c r="AE8" s="471"/>
      <c r="AF8" s="471"/>
      <c r="AG8" s="471"/>
      <c r="AH8" s="471"/>
      <c r="AI8" s="471"/>
      <c r="AJ8" s="471"/>
      <c r="AK8" s="471"/>
      <c r="AL8" s="471"/>
      <c r="AM8" s="471"/>
      <c r="AN8" s="471"/>
      <c r="AO8" s="471"/>
      <c r="AP8" s="471"/>
      <c r="AQ8" s="172"/>
      <c r="AR8" s="172"/>
      <c r="AS8" s="172"/>
      <c r="AT8" s="172"/>
      <c r="AU8" s="172"/>
      <c r="AV8" s="172"/>
      <c r="AW8" s="172"/>
      <c r="AX8" s="173"/>
    </row>
    <row r="9" spans="1:50" s="174" customFormat="1" ht="13.5" customHeight="1" x14ac:dyDescent="0.4">
      <c r="A9" s="471"/>
      <c r="B9" s="471"/>
      <c r="C9" s="471"/>
      <c r="D9" s="471"/>
      <c r="E9" s="471"/>
      <c r="F9" s="471"/>
      <c r="G9" s="471"/>
      <c r="H9" s="471"/>
      <c r="I9" s="471"/>
      <c r="J9" s="471"/>
      <c r="K9" s="471"/>
      <c r="L9" s="471"/>
      <c r="M9" s="471"/>
      <c r="N9" s="471"/>
      <c r="O9" s="471"/>
      <c r="P9" s="471"/>
      <c r="Q9" s="471"/>
      <c r="R9" s="471"/>
      <c r="S9" s="471"/>
      <c r="T9" s="471"/>
      <c r="U9" s="471"/>
      <c r="V9" s="471"/>
      <c r="W9" s="471"/>
      <c r="X9" s="471"/>
      <c r="Y9" s="471"/>
      <c r="Z9" s="471"/>
      <c r="AA9" s="471"/>
      <c r="AB9" s="471"/>
      <c r="AC9" s="471"/>
      <c r="AD9" s="471"/>
      <c r="AE9" s="471"/>
      <c r="AF9" s="471"/>
      <c r="AG9" s="471"/>
      <c r="AH9" s="471"/>
      <c r="AI9" s="471"/>
      <c r="AJ9" s="471"/>
      <c r="AK9" s="471"/>
      <c r="AL9" s="471"/>
      <c r="AM9" s="471"/>
      <c r="AN9" s="471"/>
      <c r="AO9" s="471"/>
      <c r="AP9" s="471"/>
      <c r="AQ9" s="172"/>
      <c r="AR9" s="172"/>
      <c r="AS9" s="172"/>
      <c r="AT9" s="172"/>
      <c r="AU9" s="172"/>
      <c r="AV9" s="172"/>
      <c r="AW9" s="172"/>
      <c r="AX9" s="173"/>
    </row>
    <row r="10" spans="1:50" s="174" customFormat="1" ht="13.5" customHeight="1" x14ac:dyDescent="0.4">
      <c r="A10" s="471"/>
      <c r="B10" s="471"/>
      <c r="C10" s="471"/>
      <c r="D10" s="471"/>
      <c r="E10" s="471"/>
      <c r="F10" s="471"/>
      <c r="G10" s="471"/>
      <c r="H10" s="471"/>
      <c r="I10" s="471"/>
      <c r="J10" s="471"/>
      <c r="K10" s="471"/>
      <c r="L10" s="471"/>
      <c r="M10" s="471"/>
      <c r="N10" s="471"/>
      <c r="O10" s="471"/>
      <c r="P10" s="471"/>
      <c r="Q10" s="471"/>
      <c r="R10" s="471"/>
      <c r="S10" s="471"/>
      <c r="T10" s="471"/>
      <c r="U10" s="471"/>
      <c r="V10" s="471"/>
      <c r="W10" s="471"/>
      <c r="X10" s="471"/>
      <c r="Y10" s="471"/>
      <c r="Z10" s="471"/>
      <c r="AA10" s="471"/>
      <c r="AB10" s="471"/>
      <c r="AC10" s="471"/>
      <c r="AD10" s="471"/>
      <c r="AE10" s="471"/>
      <c r="AF10" s="471"/>
      <c r="AG10" s="471"/>
      <c r="AH10" s="471"/>
      <c r="AI10" s="471"/>
      <c r="AJ10" s="471"/>
      <c r="AK10" s="471"/>
      <c r="AL10" s="471"/>
      <c r="AM10" s="471"/>
      <c r="AN10" s="471"/>
      <c r="AO10" s="471"/>
      <c r="AP10" s="471"/>
      <c r="AQ10" s="172"/>
      <c r="AR10" s="172"/>
      <c r="AS10" s="172"/>
      <c r="AT10" s="172"/>
      <c r="AU10" s="172"/>
      <c r="AV10" s="172"/>
      <c r="AW10" s="172"/>
      <c r="AX10" s="173"/>
    </row>
    <row r="11" spans="1:50" s="174" customFormat="1" ht="13.5" customHeight="1" x14ac:dyDescent="0.4">
      <c r="A11" s="471"/>
      <c r="B11" s="471"/>
      <c r="C11" s="471"/>
      <c r="D11" s="471"/>
      <c r="E11" s="471"/>
      <c r="F11" s="471"/>
      <c r="G11" s="471"/>
      <c r="H11" s="471"/>
      <c r="I11" s="471"/>
      <c r="J11" s="471"/>
      <c r="K11" s="471"/>
      <c r="L11" s="471"/>
      <c r="M11" s="471"/>
      <c r="N11" s="471"/>
      <c r="O11" s="471"/>
      <c r="P11" s="471"/>
      <c r="Q11" s="471"/>
      <c r="R11" s="471"/>
      <c r="S11" s="471"/>
      <c r="T11" s="471"/>
      <c r="U11" s="471"/>
      <c r="V11" s="471"/>
      <c r="W11" s="471"/>
      <c r="X11" s="471"/>
      <c r="Y11" s="471"/>
      <c r="Z11" s="471"/>
      <c r="AA11" s="471"/>
      <c r="AB11" s="471"/>
      <c r="AC11" s="471"/>
      <c r="AD11" s="471"/>
      <c r="AE11" s="471"/>
      <c r="AF11" s="471"/>
      <c r="AG11" s="471"/>
      <c r="AH11" s="471"/>
      <c r="AI11" s="471"/>
      <c r="AJ11" s="471"/>
      <c r="AK11" s="471"/>
      <c r="AL11" s="471"/>
      <c r="AM11" s="471"/>
      <c r="AN11" s="471"/>
      <c r="AO11" s="471"/>
      <c r="AP11" s="471"/>
      <c r="AQ11" s="172"/>
      <c r="AR11" s="172"/>
      <c r="AS11" s="172"/>
      <c r="AT11" s="172"/>
      <c r="AU11" s="172"/>
      <c r="AV11" s="172"/>
      <c r="AW11" s="172"/>
      <c r="AX11" s="173"/>
    </row>
    <row r="12" spans="1:50" s="174" customFormat="1" ht="13.5" customHeight="1" x14ac:dyDescent="0.4">
      <c r="A12" s="471"/>
      <c r="B12" s="471"/>
      <c r="C12" s="471"/>
      <c r="D12" s="471"/>
      <c r="E12" s="471"/>
      <c r="F12" s="471"/>
      <c r="G12" s="471"/>
      <c r="H12" s="471"/>
      <c r="I12" s="471"/>
      <c r="J12" s="471"/>
      <c r="K12" s="471"/>
      <c r="L12" s="471"/>
      <c r="M12" s="471"/>
      <c r="N12" s="471"/>
      <c r="O12" s="471"/>
      <c r="P12" s="471"/>
      <c r="Q12" s="471"/>
      <c r="R12" s="471"/>
      <c r="S12" s="471"/>
      <c r="T12" s="471"/>
      <c r="U12" s="471"/>
      <c r="V12" s="471"/>
      <c r="W12" s="471"/>
      <c r="X12" s="471"/>
      <c r="Y12" s="471"/>
      <c r="Z12" s="471"/>
      <c r="AA12" s="471"/>
      <c r="AB12" s="471"/>
      <c r="AC12" s="471"/>
      <c r="AD12" s="471"/>
      <c r="AE12" s="471"/>
      <c r="AF12" s="471"/>
      <c r="AG12" s="471"/>
      <c r="AH12" s="471"/>
      <c r="AI12" s="471"/>
      <c r="AJ12" s="471"/>
      <c r="AK12" s="471"/>
      <c r="AL12" s="471"/>
      <c r="AM12" s="471"/>
      <c r="AN12" s="471"/>
      <c r="AO12" s="471"/>
      <c r="AP12" s="471"/>
      <c r="AQ12" s="172"/>
      <c r="AR12" s="172"/>
      <c r="AS12" s="172"/>
      <c r="AT12" s="172"/>
      <c r="AU12" s="172"/>
      <c r="AV12" s="172"/>
      <c r="AW12" s="172"/>
      <c r="AX12" s="173"/>
    </row>
    <row r="13" spans="1:50" s="174" customFormat="1" ht="13.5" customHeight="1" x14ac:dyDescent="0.4">
      <c r="A13" s="471"/>
      <c r="B13" s="471"/>
      <c r="C13" s="471"/>
      <c r="D13" s="471"/>
      <c r="E13" s="471"/>
      <c r="F13" s="471"/>
      <c r="G13" s="471"/>
      <c r="H13" s="471"/>
      <c r="I13" s="471"/>
      <c r="J13" s="471"/>
      <c r="K13" s="471"/>
      <c r="L13" s="471"/>
      <c r="M13" s="471"/>
      <c r="N13" s="471"/>
      <c r="O13" s="471"/>
      <c r="P13" s="471"/>
      <c r="Q13" s="471"/>
      <c r="R13" s="471"/>
      <c r="S13" s="471"/>
      <c r="T13" s="471"/>
      <c r="U13" s="471"/>
      <c r="V13" s="471"/>
      <c r="W13" s="471"/>
      <c r="X13" s="471"/>
      <c r="Y13" s="471"/>
      <c r="Z13" s="471"/>
      <c r="AA13" s="471"/>
      <c r="AB13" s="471"/>
      <c r="AC13" s="471"/>
      <c r="AD13" s="471"/>
      <c r="AE13" s="471"/>
      <c r="AF13" s="471"/>
      <c r="AG13" s="471"/>
      <c r="AH13" s="471"/>
      <c r="AI13" s="471"/>
      <c r="AJ13" s="471"/>
      <c r="AK13" s="471"/>
      <c r="AL13" s="471"/>
      <c r="AM13" s="471"/>
      <c r="AN13" s="471"/>
      <c r="AO13" s="471"/>
      <c r="AP13" s="471"/>
      <c r="AQ13" s="172"/>
      <c r="AR13" s="172"/>
      <c r="AS13" s="172"/>
      <c r="AT13" s="172"/>
      <c r="AU13" s="172"/>
      <c r="AV13" s="172"/>
      <c r="AW13" s="172"/>
      <c r="AX13" s="173"/>
    </row>
    <row r="14" spans="1:50" s="174" customFormat="1" ht="13.5" customHeight="1" x14ac:dyDescent="0.4">
      <c r="A14" s="471"/>
      <c r="B14" s="471"/>
      <c r="C14" s="471"/>
      <c r="D14" s="471"/>
      <c r="E14" s="471"/>
      <c r="F14" s="471"/>
      <c r="G14" s="471"/>
      <c r="H14" s="471"/>
      <c r="I14" s="471"/>
      <c r="J14" s="471"/>
      <c r="K14" s="471"/>
      <c r="L14" s="471"/>
      <c r="M14" s="471"/>
      <c r="N14" s="471"/>
      <c r="O14" s="471"/>
      <c r="P14" s="471"/>
      <c r="Q14" s="471"/>
      <c r="R14" s="471"/>
      <c r="S14" s="471"/>
      <c r="T14" s="471"/>
      <c r="U14" s="471"/>
      <c r="V14" s="471"/>
      <c r="W14" s="471"/>
      <c r="X14" s="471"/>
      <c r="Y14" s="471"/>
      <c r="Z14" s="471"/>
      <c r="AA14" s="471"/>
      <c r="AB14" s="471"/>
      <c r="AC14" s="471"/>
      <c r="AD14" s="471"/>
      <c r="AE14" s="471"/>
      <c r="AF14" s="471"/>
      <c r="AG14" s="471"/>
      <c r="AH14" s="471"/>
      <c r="AI14" s="471"/>
      <c r="AJ14" s="471"/>
      <c r="AK14" s="471"/>
      <c r="AL14" s="471"/>
      <c r="AM14" s="471"/>
      <c r="AN14" s="471"/>
      <c r="AO14" s="471"/>
      <c r="AP14" s="471"/>
      <c r="AQ14" s="172"/>
      <c r="AR14" s="172"/>
      <c r="AS14" s="172"/>
      <c r="AT14" s="172"/>
      <c r="AU14" s="172"/>
      <c r="AV14" s="172"/>
      <c r="AW14" s="172"/>
      <c r="AX14" s="173"/>
    </row>
    <row r="15" spans="1:50" s="174" customFormat="1" ht="13.5" customHeight="1" x14ac:dyDescent="0.4">
      <c r="A15" s="471"/>
      <c r="B15" s="471"/>
      <c r="C15" s="471"/>
      <c r="D15" s="471"/>
      <c r="E15" s="471"/>
      <c r="F15" s="471"/>
      <c r="G15" s="471"/>
      <c r="H15" s="471"/>
      <c r="I15" s="471"/>
      <c r="J15" s="471"/>
      <c r="K15" s="471"/>
      <c r="L15" s="471"/>
      <c r="M15" s="471"/>
      <c r="N15" s="471"/>
      <c r="O15" s="471"/>
      <c r="P15" s="471"/>
      <c r="Q15" s="471"/>
      <c r="R15" s="471"/>
      <c r="S15" s="471"/>
      <c r="T15" s="471"/>
      <c r="U15" s="471"/>
      <c r="V15" s="471"/>
      <c r="W15" s="471"/>
      <c r="X15" s="471"/>
      <c r="Y15" s="471"/>
      <c r="Z15" s="471"/>
      <c r="AA15" s="471"/>
      <c r="AB15" s="471"/>
      <c r="AC15" s="471"/>
      <c r="AD15" s="471"/>
      <c r="AE15" s="471"/>
      <c r="AF15" s="471"/>
      <c r="AG15" s="471"/>
      <c r="AH15" s="471"/>
      <c r="AI15" s="471"/>
      <c r="AJ15" s="471"/>
      <c r="AK15" s="471"/>
      <c r="AL15" s="471"/>
      <c r="AM15" s="471"/>
      <c r="AN15" s="471"/>
      <c r="AO15" s="471"/>
      <c r="AP15" s="471"/>
      <c r="AQ15" s="172"/>
      <c r="AR15" s="172"/>
      <c r="AS15" s="172"/>
      <c r="AT15" s="172"/>
      <c r="AU15" s="172"/>
      <c r="AV15" s="172"/>
      <c r="AW15" s="172"/>
      <c r="AX15" s="173"/>
    </row>
    <row r="16" spans="1:50" s="174" customFormat="1" ht="13.5" customHeight="1" x14ac:dyDescent="0.4">
      <c r="A16" s="471"/>
      <c r="B16" s="471"/>
      <c r="C16" s="471"/>
      <c r="D16" s="471"/>
      <c r="E16" s="471"/>
      <c r="F16" s="471"/>
      <c r="G16" s="471"/>
      <c r="H16" s="471"/>
      <c r="I16" s="471"/>
      <c r="J16" s="471"/>
      <c r="K16" s="471"/>
      <c r="L16" s="471"/>
      <c r="M16" s="471"/>
      <c r="N16" s="471"/>
      <c r="O16" s="471"/>
      <c r="P16" s="471"/>
      <c r="Q16" s="471"/>
      <c r="R16" s="471"/>
      <c r="S16" s="471"/>
      <c r="T16" s="471"/>
      <c r="U16" s="471"/>
      <c r="V16" s="471"/>
      <c r="W16" s="471"/>
      <c r="X16" s="471"/>
      <c r="Y16" s="471"/>
      <c r="Z16" s="471"/>
      <c r="AA16" s="471"/>
      <c r="AB16" s="471"/>
      <c r="AC16" s="471"/>
      <c r="AD16" s="471"/>
      <c r="AE16" s="471"/>
      <c r="AF16" s="471"/>
      <c r="AG16" s="471"/>
      <c r="AH16" s="471"/>
      <c r="AI16" s="471"/>
      <c r="AJ16" s="471"/>
      <c r="AK16" s="471"/>
      <c r="AL16" s="471"/>
      <c r="AM16" s="471"/>
      <c r="AN16" s="471"/>
      <c r="AO16" s="471"/>
      <c r="AP16" s="471"/>
      <c r="AQ16" s="172"/>
      <c r="AR16" s="172"/>
      <c r="AS16" s="172"/>
      <c r="AT16" s="172"/>
      <c r="AU16" s="172"/>
      <c r="AV16" s="172"/>
      <c r="AW16" s="172"/>
      <c r="AX16" s="173"/>
    </row>
    <row r="17" spans="1:50" s="174" customFormat="1" ht="13.5" customHeight="1" x14ac:dyDescent="0.4">
      <c r="A17" s="471"/>
      <c r="B17" s="471"/>
      <c r="C17" s="471"/>
      <c r="D17" s="471"/>
      <c r="E17" s="471"/>
      <c r="F17" s="471"/>
      <c r="G17" s="471"/>
      <c r="H17" s="471"/>
      <c r="I17" s="471"/>
      <c r="J17" s="471"/>
      <c r="K17" s="471"/>
      <c r="L17" s="471"/>
      <c r="M17" s="471"/>
      <c r="N17" s="471"/>
      <c r="O17" s="471"/>
      <c r="P17" s="471"/>
      <c r="Q17" s="471"/>
      <c r="R17" s="471"/>
      <c r="S17" s="471"/>
      <c r="T17" s="471"/>
      <c r="U17" s="471"/>
      <c r="V17" s="471"/>
      <c r="W17" s="471"/>
      <c r="X17" s="471"/>
      <c r="Y17" s="471"/>
      <c r="Z17" s="471"/>
      <c r="AA17" s="471"/>
      <c r="AB17" s="471"/>
      <c r="AC17" s="471"/>
      <c r="AD17" s="471"/>
      <c r="AE17" s="471"/>
      <c r="AF17" s="471"/>
      <c r="AG17" s="471"/>
      <c r="AH17" s="471"/>
      <c r="AI17" s="471"/>
      <c r="AJ17" s="471"/>
      <c r="AK17" s="471"/>
      <c r="AL17" s="471"/>
      <c r="AM17" s="471"/>
      <c r="AN17" s="471"/>
      <c r="AO17" s="471"/>
      <c r="AP17" s="471"/>
      <c r="AQ17" s="172"/>
      <c r="AR17" s="172"/>
      <c r="AS17" s="172"/>
      <c r="AT17" s="172"/>
      <c r="AU17" s="172"/>
      <c r="AV17" s="172"/>
      <c r="AW17" s="172"/>
      <c r="AX17" s="173"/>
    </row>
    <row r="18" spans="1:50" s="174" customFormat="1" ht="13.5" customHeight="1" x14ac:dyDescent="0.4">
      <c r="A18" s="471"/>
      <c r="B18" s="471"/>
      <c r="C18" s="471"/>
      <c r="D18" s="471"/>
      <c r="E18" s="471"/>
      <c r="F18" s="471"/>
      <c r="G18" s="471"/>
      <c r="H18" s="471"/>
      <c r="I18" s="471"/>
      <c r="J18" s="471"/>
      <c r="K18" s="471"/>
      <c r="L18" s="471"/>
      <c r="M18" s="471"/>
      <c r="N18" s="471"/>
      <c r="O18" s="471"/>
      <c r="P18" s="471"/>
      <c r="Q18" s="471"/>
      <c r="R18" s="471"/>
      <c r="S18" s="471"/>
      <c r="T18" s="471"/>
      <c r="U18" s="471"/>
      <c r="V18" s="471"/>
      <c r="W18" s="471"/>
      <c r="X18" s="471"/>
      <c r="Y18" s="471"/>
      <c r="Z18" s="471"/>
      <c r="AA18" s="471"/>
      <c r="AB18" s="471"/>
      <c r="AC18" s="471"/>
      <c r="AD18" s="471"/>
      <c r="AE18" s="471"/>
      <c r="AF18" s="471"/>
      <c r="AG18" s="471"/>
      <c r="AH18" s="471"/>
      <c r="AI18" s="471"/>
      <c r="AJ18" s="471"/>
      <c r="AK18" s="471"/>
      <c r="AL18" s="471"/>
      <c r="AM18" s="471"/>
      <c r="AN18" s="471"/>
      <c r="AO18" s="471"/>
      <c r="AP18" s="471"/>
      <c r="AQ18" s="172"/>
      <c r="AR18" s="172"/>
      <c r="AS18" s="172"/>
      <c r="AT18" s="172"/>
      <c r="AU18" s="172"/>
      <c r="AV18" s="172"/>
      <c r="AW18" s="172"/>
      <c r="AX18" s="173"/>
    </row>
    <row r="19" spans="1:50" s="174" customFormat="1" ht="13.5" customHeight="1" x14ac:dyDescent="0.4">
      <c r="A19" s="471"/>
      <c r="B19" s="471"/>
      <c r="C19" s="471"/>
      <c r="D19" s="471"/>
      <c r="E19" s="471"/>
      <c r="F19" s="471"/>
      <c r="G19" s="471"/>
      <c r="H19" s="471"/>
      <c r="I19" s="471"/>
      <c r="J19" s="471"/>
      <c r="K19" s="471"/>
      <c r="L19" s="471"/>
      <c r="M19" s="471"/>
      <c r="N19" s="471"/>
      <c r="O19" s="471"/>
      <c r="P19" s="471"/>
      <c r="Q19" s="471"/>
      <c r="R19" s="471"/>
      <c r="S19" s="471"/>
      <c r="T19" s="471"/>
      <c r="U19" s="471"/>
      <c r="V19" s="471"/>
      <c r="W19" s="471"/>
      <c r="X19" s="471"/>
      <c r="Y19" s="471"/>
      <c r="Z19" s="471"/>
      <c r="AA19" s="471"/>
      <c r="AB19" s="471"/>
      <c r="AC19" s="471"/>
      <c r="AD19" s="471"/>
      <c r="AE19" s="471"/>
      <c r="AF19" s="471"/>
      <c r="AG19" s="471"/>
      <c r="AH19" s="471"/>
      <c r="AI19" s="471"/>
      <c r="AJ19" s="471"/>
      <c r="AK19" s="471"/>
      <c r="AL19" s="471"/>
      <c r="AM19" s="471"/>
      <c r="AN19" s="471"/>
      <c r="AO19" s="471"/>
      <c r="AP19" s="471"/>
      <c r="AQ19" s="172"/>
      <c r="AR19" s="172"/>
      <c r="AS19" s="172"/>
      <c r="AT19" s="172"/>
      <c r="AU19" s="172"/>
      <c r="AV19" s="172"/>
      <c r="AW19" s="172"/>
      <c r="AX19" s="173"/>
    </row>
    <row r="20" spans="1:50" s="174" customFormat="1" ht="13.5" customHeight="1" x14ac:dyDescent="0.4">
      <c r="A20" s="471"/>
      <c r="B20" s="471"/>
      <c r="C20" s="471"/>
      <c r="D20" s="471"/>
      <c r="E20" s="471"/>
      <c r="F20" s="471"/>
      <c r="G20" s="471"/>
      <c r="H20" s="471"/>
      <c r="I20" s="471"/>
      <c r="J20" s="471"/>
      <c r="K20" s="471"/>
      <c r="L20" s="471"/>
      <c r="M20" s="471"/>
      <c r="N20" s="471"/>
      <c r="O20" s="471"/>
      <c r="P20" s="471"/>
      <c r="Q20" s="471"/>
      <c r="R20" s="471"/>
      <c r="S20" s="471"/>
      <c r="T20" s="471"/>
      <c r="U20" s="471"/>
      <c r="V20" s="471"/>
      <c r="W20" s="471"/>
      <c r="X20" s="471"/>
      <c r="Y20" s="471"/>
      <c r="Z20" s="471"/>
      <c r="AA20" s="471"/>
      <c r="AB20" s="471"/>
      <c r="AC20" s="471"/>
      <c r="AD20" s="471"/>
      <c r="AE20" s="471"/>
      <c r="AF20" s="471"/>
      <c r="AG20" s="471"/>
      <c r="AH20" s="471"/>
      <c r="AI20" s="471"/>
      <c r="AJ20" s="471"/>
      <c r="AK20" s="471"/>
      <c r="AL20" s="471"/>
      <c r="AM20" s="471"/>
      <c r="AN20" s="471"/>
      <c r="AO20" s="471"/>
      <c r="AP20" s="471"/>
      <c r="AQ20" s="172"/>
      <c r="AR20" s="172"/>
      <c r="AS20" s="172"/>
      <c r="AT20" s="172"/>
      <c r="AU20" s="172"/>
      <c r="AV20" s="172"/>
      <c r="AW20" s="172"/>
      <c r="AX20" s="173"/>
    </row>
    <row r="21" spans="1:50" s="174" customFormat="1" ht="13.5" customHeight="1" x14ac:dyDescent="0.4">
      <c r="A21" s="471"/>
      <c r="B21" s="471"/>
      <c r="C21" s="471"/>
      <c r="D21" s="471"/>
      <c r="E21" s="471"/>
      <c r="F21" s="471"/>
      <c r="G21" s="471"/>
      <c r="H21" s="471"/>
      <c r="I21" s="471"/>
      <c r="J21" s="471"/>
      <c r="K21" s="471"/>
      <c r="L21" s="471"/>
      <c r="M21" s="471"/>
      <c r="N21" s="471"/>
      <c r="O21" s="471"/>
      <c r="P21" s="471"/>
      <c r="Q21" s="471"/>
      <c r="R21" s="471"/>
      <c r="S21" s="471"/>
      <c r="T21" s="471"/>
      <c r="U21" s="471"/>
      <c r="V21" s="471"/>
      <c r="W21" s="471"/>
      <c r="X21" s="471"/>
      <c r="Y21" s="471"/>
      <c r="Z21" s="471"/>
      <c r="AA21" s="471"/>
      <c r="AB21" s="471"/>
      <c r="AC21" s="471"/>
      <c r="AD21" s="471"/>
      <c r="AE21" s="471"/>
      <c r="AF21" s="471"/>
      <c r="AG21" s="471"/>
      <c r="AH21" s="471"/>
      <c r="AI21" s="471"/>
      <c r="AJ21" s="471"/>
      <c r="AK21" s="471"/>
      <c r="AL21" s="471"/>
      <c r="AM21" s="471"/>
      <c r="AN21" s="471"/>
      <c r="AO21" s="471"/>
      <c r="AP21" s="471"/>
      <c r="AQ21" s="172"/>
      <c r="AR21" s="172"/>
      <c r="AS21" s="172"/>
      <c r="AT21" s="172"/>
      <c r="AU21" s="172"/>
      <c r="AV21" s="172"/>
      <c r="AW21" s="172"/>
      <c r="AX21" s="173"/>
    </row>
    <row r="22" spans="1:50" s="174" customFormat="1" ht="13.5" customHeight="1" x14ac:dyDescent="0.4">
      <c r="A22" s="471"/>
      <c r="B22" s="471"/>
      <c r="C22" s="471"/>
      <c r="D22" s="471"/>
      <c r="E22" s="471"/>
      <c r="F22" s="471"/>
      <c r="G22" s="471"/>
      <c r="H22" s="471"/>
      <c r="I22" s="471"/>
      <c r="J22" s="471"/>
      <c r="K22" s="471"/>
      <c r="L22" s="471"/>
      <c r="M22" s="471"/>
      <c r="N22" s="471"/>
      <c r="O22" s="471"/>
      <c r="P22" s="471"/>
      <c r="Q22" s="471"/>
      <c r="R22" s="471"/>
      <c r="S22" s="471"/>
      <c r="T22" s="471"/>
      <c r="U22" s="471"/>
      <c r="V22" s="471"/>
      <c r="W22" s="471"/>
      <c r="X22" s="471"/>
      <c r="Y22" s="471"/>
      <c r="Z22" s="471"/>
      <c r="AA22" s="471"/>
      <c r="AB22" s="471"/>
      <c r="AC22" s="471"/>
      <c r="AD22" s="471"/>
      <c r="AE22" s="471"/>
      <c r="AF22" s="471"/>
      <c r="AG22" s="471"/>
      <c r="AH22" s="471"/>
      <c r="AI22" s="471"/>
      <c r="AJ22" s="471"/>
      <c r="AK22" s="471"/>
      <c r="AL22" s="471"/>
      <c r="AM22" s="471"/>
      <c r="AN22" s="471"/>
      <c r="AO22" s="471"/>
      <c r="AP22" s="471"/>
      <c r="AQ22" s="172"/>
      <c r="AR22" s="172"/>
      <c r="AS22" s="172"/>
      <c r="AT22" s="172"/>
      <c r="AU22" s="172"/>
      <c r="AV22" s="172"/>
      <c r="AW22" s="172"/>
      <c r="AX22" s="173"/>
    </row>
    <row r="23" spans="1:50" s="174" customFormat="1" ht="13.5" customHeight="1" x14ac:dyDescent="0.4">
      <c r="A23" s="471"/>
      <c r="B23" s="471"/>
      <c r="C23" s="471"/>
      <c r="D23" s="471"/>
      <c r="E23" s="471"/>
      <c r="F23" s="471"/>
      <c r="G23" s="471"/>
      <c r="H23" s="471"/>
      <c r="I23" s="471"/>
      <c r="J23" s="471"/>
      <c r="K23" s="471"/>
      <c r="L23" s="471"/>
      <c r="M23" s="471"/>
      <c r="N23" s="471"/>
      <c r="O23" s="471"/>
      <c r="P23" s="471"/>
      <c r="Q23" s="471"/>
      <c r="R23" s="471"/>
      <c r="S23" s="471"/>
      <c r="T23" s="471"/>
      <c r="U23" s="471"/>
      <c r="V23" s="471"/>
      <c r="W23" s="471"/>
      <c r="X23" s="471"/>
      <c r="Y23" s="471"/>
      <c r="Z23" s="471"/>
      <c r="AA23" s="471"/>
      <c r="AB23" s="471"/>
      <c r="AC23" s="471"/>
      <c r="AD23" s="471"/>
      <c r="AE23" s="471"/>
      <c r="AF23" s="471"/>
      <c r="AG23" s="471"/>
      <c r="AH23" s="471"/>
      <c r="AI23" s="471"/>
      <c r="AJ23" s="471"/>
      <c r="AK23" s="471"/>
      <c r="AL23" s="471"/>
      <c r="AM23" s="471"/>
      <c r="AN23" s="471"/>
      <c r="AO23" s="471"/>
      <c r="AP23" s="471"/>
      <c r="AQ23" s="172"/>
      <c r="AR23" s="172"/>
      <c r="AS23" s="172"/>
      <c r="AT23" s="172"/>
      <c r="AU23" s="172"/>
      <c r="AV23" s="172"/>
      <c r="AW23" s="172"/>
      <c r="AX23" s="173"/>
    </row>
    <row r="24" spans="1:50" s="174" customFormat="1" ht="13.5" customHeight="1" x14ac:dyDescent="0.4">
      <c r="A24" s="471"/>
      <c r="B24" s="471"/>
      <c r="C24" s="471"/>
      <c r="D24" s="471"/>
      <c r="E24" s="471"/>
      <c r="F24" s="471"/>
      <c r="G24" s="471"/>
      <c r="H24" s="471"/>
      <c r="I24" s="471"/>
      <c r="J24" s="471"/>
      <c r="K24" s="471"/>
      <c r="L24" s="471"/>
      <c r="M24" s="471"/>
      <c r="N24" s="471"/>
      <c r="O24" s="471"/>
      <c r="P24" s="471"/>
      <c r="Q24" s="471"/>
      <c r="R24" s="471"/>
      <c r="S24" s="471"/>
      <c r="T24" s="471"/>
      <c r="U24" s="471"/>
      <c r="V24" s="471"/>
      <c r="W24" s="471"/>
      <c r="X24" s="471"/>
      <c r="Y24" s="471"/>
      <c r="Z24" s="471"/>
      <c r="AA24" s="471"/>
      <c r="AB24" s="471"/>
      <c r="AC24" s="471"/>
      <c r="AD24" s="471"/>
      <c r="AE24" s="471"/>
      <c r="AF24" s="471"/>
      <c r="AG24" s="471"/>
      <c r="AH24" s="471"/>
      <c r="AI24" s="471"/>
      <c r="AJ24" s="471"/>
      <c r="AK24" s="471"/>
      <c r="AL24" s="471"/>
      <c r="AM24" s="471"/>
      <c r="AN24" s="471"/>
      <c r="AO24" s="471"/>
      <c r="AP24" s="471"/>
      <c r="AQ24" s="172"/>
      <c r="AR24" s="172"/>
      <c r="AS24" s="172"/>
      <c r="AT24" s="172"/>
      <c r="AU24" s="172"/>
      <c r="AV24" s="172"/>
      <c r="AW24" s="172"/>
      <c r="AX24" s="173"/>
    </row>
    <row r="25" spans="1:50" s="174" customFormat="1" ht="13.5" customHeight="1" x14ac:dyDescent="0.4">
      <c r="A25" s="471"/>
      <c r="B25" s="471"/>
      <c r="C25" s="471"/>
      <c r="D25" s="471"/>
      <c r="E25" s="471"/>
      <c r="F25" s="471"/>
      <c r="G25" s="471"/>
      <c r="H25" s="471"/>
      <c r="I25" s="471"/>
      <c r="J25" s="471"/>
      <c r="K25" s="471"/>
      <c r="L25" s="471"/>
      <c r="M25" s="471"/>
      <c r="N25" s="471"/>
      <c r="O25" s="471"/>
      <c r="P25" s="471"/>
      <c r="Q25" s="471"/>
      <c r="R25" s="471"/>
      <c r="S25" s="471"/>
      <c r="T25" s="471"/>
      <c r="U25" s="471"/>
      <c r="V25" s="471"/>
      <c r="W25" s="471"/>
      <c r="X25" s="471"/>
      <c r="Y25" s="471"/>
      <c r="Z25" s="471"/>
      <c r="AA25" s="471"/>
      <c r="AB25" s="471"/>
      <c r="AC25" s="471"/>
      <c r="AD25" s="471"/>
      <c r="AE25" s="471"/>
      <c r="AF25" s="471"/>
      <c r="AG25" s="471"/>
      <c r="AH25" s="471"/>
      <c r="AI25" s="471"/>
      <c r="AJ25" s="471"/>
      <c r="AK25" s="471"/>
      <c r="AL25" s="471"/>
      <c r="AM25" s="471"/>
      <c r="AN25" s="471"/>
      <c r="AO25" s="471"/>
      <c r="AP25" s="471"/>
      <c r="AQ25" s="172"/>
      <c r="AR25" s="172"/>
      <c r="AS25" s="172"/>
      <c r="AT25" s="172"/>
      <c r="AU25" s="172"/>
      <c r="AV25" s="172"/>
      <c r="AW25" s="172"/>
      <c r="AX25" s="173"/>
    </row>
    <row r="26" spans="1:50" s="174" customFormat="1" ht="13.5" customHeight="1" x14ac:dyDescent="0.4">
      <c r="A26" s="471"/>
      <c r="B26" s="471"/>
      <c r="C26" s="471"/>
      <c r="D26" s="471"/>
      <c r="E26" s="471"/>
      <c r="F26" s="471"/>
      <c r="G26" s="471"/>
      <c r="H26" s="471"/>
      <c r="I26" s="471"/>
      <c r="J26" s="471"/>
      <c r="K26" s="471"/>
      <c r="L26" s="471"/>
      <c r="M26" s="471"/>
      <c r="N26" s="471"/>
      <c r="O26" s="471"/>
      <c r="P26" s="471"/>
      <c r="Q26" s="471"/>
      <c r="R26" s="471"/>
      <c r="S26" s="471"/>
      <c r="T26" s="471"/>
      <c r="U26" s="471"/>
      <c r="V26" s="471"/>
      <c r="W26" s="471"/>
      <c r="X26" s="471"/>
      <c r="Y26" s="471"/>
      <c r="Z26" s="471"/>
      <c r="AA26" s="471"/>
      <c r="AB26" s="471"/>
      <c r="AC26" s="471"/>
      <c r="AD26" s="471"/>
      <c r="AE26" s="471"/>
      <c r="AF26" s="471"/>
      <c r="AG26" s="471"/>
      <c r="AH26" s="471"/>
      <c r="AI26" s="471"/>
      <c r="AJ26" s="471"/>
      <c r="AK26" s="471"/>
      <c r="AL26" s="471"/>
      <c r="AM26" s="471"/>
      <c r="AN26" s="471"/>
      <c r="AO26" s="471"/>
      <c r="AP26" s="471"/>
      <c r="AQ26" s="172"/>
      <c r="AR26" s="172"/>
      <c r="AS26" s="172"/>
      <c r="AT26" s="172"/>
      <c r="AU26" s="172"/>
      <c r="AV26" s="172"/>
      <c r="AW26" s="172"/>
      <c r="AX26" s="173"/>
    </row>
    <row r="27" spans="1:50" s="174" customFormat="1" ht="13.5" customHeight="1" x14ac:dyDescent="0.4">
      <c r="A27" s="471"/>
      <c r="B27" s="471"/>
      <c r="C27" s="471"/>
      <c r="D27" s="471"/>
      <c r="E27" s="471"/>
      <c r="F27" s="471"/>
      <c r="G27" s="471"/>
      <c r="H27" s="471"/>
      <c r="I27" s="471"/>
      <c r="J27" s="471"/>
      <c r="K27" s="471"/>
      <c r="L27" s="471"/>
      <c r="M27" s="471"/>
      <c r="N27" s="471"/>
      <c r="O27" s="471"/>
      <c r="P27" s="471"/>
      <c r="Q27" s="471"/>
      <c r="R27" s="471"/>
      <c r="S27" s="471"/>
      <c r="T27" s="471"/>
      <c r="U27" s="471"/>
      <c r="V27" s="471"/>
      <c r="W27" s="471"/>
      <c r="X27" s="471"/>
      <c r="Y27" s="471"/>
      <c r="Z27" s="471"/>
      <c r="AA27" s="471"/>
      <c r="AB27" s="471"/>
      <c r="AC27" s="471"/>
      <c r="AD27" s="471"/>
      <c r="AE27" s="471"/>
      <c r="AF27" s="471"/>
      <c r="AG27" s="471"/>
      <c r="AH27" s="471"/>
      <c r="AI27" s="471"/>
      <c r="AJ27" s="471"/>
      <c r="AK27" s="471"/>
      <c r="AL27" s="471"/>
      <c r="AM27" s="471"/>
      <c r="AN27" s="471"/>
      <c r="AO27" s="471"/>
      <c r="AP27" s="471"/>
      <c r="AQ27" s="172"/>
      <c r="AR27" s="172"/>
      <c r="AS27" s="172"/>
      <c r="AT27" s="172"/>
      <c r="AU27" s="172"/>
      <c r="AV27" s="172"/>
      <c r="AW27" s="172"/>
      <c r="AX27" s="173"/>
    </row>
    <row r="28" spans="1:50" s="174" customFormat="1" ht="13.5" customHeight="1" x14ac:dyDescent="0.4">
      <c r="A28" s="471"/>
      <c r="B28" s="471"/>
      <c r="C28" s="471"/>
      <c r="D28" s="471"/>
      <c r="E28" s="471"/>
      <c r="F28" s="471"/>
      <c r="G28" s="471"/>
      <c r="H28" s="471"/>
      <c r="I28" s="471"/>
      <c r="J28" s="471"/>
      <c r="K28" s="471"/>
      <c r="L28" s="471"/>
      <c r="M28" s="471"/>
      <c r="N28" s="471"/>
      <c r="O28" s="471"/>
      <c r="P28" s="471"/>
      <c r="Q28" s="471"/>
      <c r="R28" s="471"/>
      <c r="S28" s="471"/>
      <c r="T28" s="471"/>
      <c r="U28" s="471"/>
      <c r="V28" s="471"/>
      <c r="W28" s="471"/>
      <c r="X28" s="471"/>
      <c r="Y28" s="471"/>
      <c r="Z28" s="471"/>
      <c r="AA28" s="471"/>
      <c r="AB28" s="471"/>
      <c r="AC28" s="471"/>
      <c r="AD28" s="471"/>
      <c r="AE28" s="471"/>
      <c r="AF28" s="471"/>
      <c r="AG28" s="471"/>
      <c r="AH28" s="471"/>
      <c r="AI28" s="471"/>
      <c r="AJ28" s="471"/>
      <c r="AK28" s="471"/>
      <c r="AL28" s="471"/>
      <c r="AM28" s="471"/>
      <c r="AN28" s="471"/>
      <c r="AO28" s="471"/>
      <c r="AP28" s="471"/>
      <c r="AQ28" s="172"/>
      <c r="AR28" s="172"/>
      <c r="AS28" s="172"/>
      <c r="AT28" s="172"/>
      <c r="AU28" s="172"/>
      <c r="AV28" s="172"/>
      <c r="AW28" s="172"/>
      <c r="AX28" s="173"/>
    </row>
    <row r="29" spans="1:50" s="174" customFormat="1" ht="13.5" customHeight="1" x14ac:dyDescent="0.4">
      <c r="A29" s="471"/>
      <c r="B29" s="471"/>
      <c r="C29" s="471"/>
      <c r="D29" s="471"/>
      <c r="E29" s="471"/>
      <c r="F29" s="471"/>
      <c r="G29" s="471"/>
      <c r="H29" s="471"/>
      <c r="I29" s="471"/>
      <c r="J29" s="471"/>
      <c r="K29" s="471"/>
      <c r="L29" s="471"/>
      <c r="M29" s="471"/>
      <c r="N29" s="471"/>
      <c r="O29" s="471"/>
      <c r="P29" s="471"/>
      <c r="Q29" s="471"/>
      <c r="R29" s="471"/>
      <c r="S29" s="471"/>
      <c r="T29" s="471"/>
      <c r="U29" s="471"/>
      <c r="V29" s="471"/>
      <c r="W29" s="471"/>
      <c r="X29" s="471"/>
      <c r="Y29" s="471"/>
      <c r="Z29" s="471"/>
      <c r="AA29" s="471"/>
      <c r="AB29" s="471"/>
      <c r="AC29" s="471"/>
      <c r="AD29" s="471"/>
      <c r="AE29" s="471"/>
      <c r="AF29" s="471"/>
      <c r="AG29" s="471"/>
      <c r="AH29" s="471"/>
      <c r="AI29" s="471"/>
      <c r="AJ29" s="471"/>
      <c r="AK29" s="471"/>
      <c r="AL29" s="471"/>
      <c r="AM29" s="471"/>
      <c r="AN29" s="471"/>
      <c r="AO29" s="471"/>
      <c r="AP29" s="471"/>
      <c r="AQ29" s="172"/>
      <c r="AR29" s="172"/>
      <c r="AS29" s="172"/>
      <c r="AT29" s="172"/>
      <c r="AU29" s="172"/>
      <c r="AV29" s="172"/>
      <c r="AW29" s="172"/>
      <c r="AX29" s="173"/>
    </row>
    <row r="30" spans="1:50" s="174" customFormat="1" ht="13.5" customHeight="1" x14ac:dyDescent="0.4">
      <c r="A30" s="471"/>
      <c r="B30" s="471"/>
      <c r="C30" s="471"/>
      <c r="D30" s="471"/>
      <c r="E30" s="471"/>
      <c r="F30" s="471"/>
      <c r="G30" s="471"/>
      <c r="H30" s="471"/>
      <c r="I30" s="471"/>
      <c r="J30" s="471"/>
      <c r="K30" s="471"/>
      <c r="L30" s="471"/>
      <c r="M30" s="471"/>
      <c r="N30" s="471"/>
      <c r="O30" s="471"/>
      <c r="P30" s="471"/>
      <c r="Q30" s="471"/>
      <c r="R30" s="471"/>
      <c r="S30" s="471"/>
      <c r="T30" s="471"/>
      <c r="U30" s="471"/>
      <c r="V30" s="471"/>
      <c r="W30" s="471"/>
      <c r="X30" s="471"/>
      <c r="Y30" s="471"/>
      <c r="Z30" s="471"/>
      <c r="AA30" s="471"/>
      <c r="AB30" s="471"/>
      <c r="AC30" s="471"/>
      <c r="AD30" s="471"/>
      <c r="AE30" s="471"/>
      <c r="AF30" s="471"/>
      <c r="AG30" s="471"/>
      <c r="AH30" s="471"/>
      <c r="AI30" s="471"/>
      <c r="AJ30" s="471"/>
      <c r="AK30" s="471"/>
      <c r="AL30" s="471"/>
      <c r="AM30" s="471"/>
      <c r="AN30" s="471"/>
      <c r="AO30" s="471"/>
      <c r="AP30" s="471"/>
      <c r="AQ30" s="172"/>
      <c r="AR30" s="172"/>
      <c r="AS30" s="172"/>
      <c r="AT30" s="172"/>
      <c r="AU30" s="172"/>
      <c r="AV30" s="172"/>
      <c r="AW30" s="172"/>
      <c r="AX30" s="173"/>
    </row>
    <row r="31" spans="1:50" s="174" customFormat="1" ht="13.5" customHeight="1" x14ac:dyDescent="0.4">
      <c r="A31" s="471"/>
      <c r="B31" s="471"/>
      <c r="C31" s="471"/>
      <c r="D31" s="471"/>
      <c r="E31" s="471"/>
      <c r="F31" s="471"/>
      <c r="G31" s="471"/>
      <c r="H31" s="471"/>
      <c r="I31" s="471"/>
      <c r="J31" s="471"/>
      <c r="K31" s="471"/>
      <c r="L31" s="471"/>
      <c r="M31" s="471"/>
      <c r="N31" s="471"/>
      <c r="O31" s="471"/>
      <c r="P31" s="471"/>
      <c r="Q31" s="471"/>
      <c r="R31" s="471"/>
      <c r="S31" s="471"/>
      <c r="T31" s="471"/>
      <c r="U31" s="471"/>
      <c r="V31" s="471"/>
      <c r="W31" s="471"/>
      <c r="X31" s="471"/>
      <c r="Y31" s="471"/>
      <c r="Z31" s="471"/>
      <c r="AA31" s="471"/>
      <c r="AB31" s="471"/>
      <c r="AC31" s="471"/>
      <c r="AD31" s="471"/>
      <c r="AE31" s="471"/>
      <c r="AF31" s="471"/>
      <c r="AG31" s="471"/>
      <c r="AH31" s="471"/>
      <c r="AI31" s="471"/>
      <c r="AJ31" s="471"/>
      <c r="AK31" s="471"/>
      <c r="AL31" s="471"/>
      <c r="AM31" s="471"/>
      <c r="AN31" s="471"/>
      <c r="AO31" s="471"/>
      <c r="AP31" s="471"/>
      <c r="AQ31" s="172"/>
      <c r="AR31" s="172"/>
      <c r="AS31" s="172"/>
      <c r="AT31" s="172"/>
      <c r="AU31" s="172"/>
      <c r="AV31" s="172"/>
      <c r="AW31" s="172"/>
      <c r="AX31" s="173"/>
    </row>
    <row r="32" spans="1:50" s="174" customFormat="1" ht="13.5" customHeight="1" x14ac:dyDescent="0.4">
      <c r="A32" s="471"/>
      <c r="B32" s="471"/>
      <c r="C32" s="471"/>
      <c r="D32" s="471"/>
      <c r="E32" s="471"/>
      <c r="F32" s="471"/>
      <c r="G32" s="471"/>
      <c r="H32" s="471"/>
      <c r="I32" s="471"/>
      <c r="J32" s="471"/>
      <c r="K32" s="471"/>
      <c r="L32" s="471"/>
      <c r="M32" s="471"/>
      <c r="N32" s="471"/>
      <c r="O32" s="471"/>
      <c r="P32" s="471"/>
      <c r="Q32" s="471"/>
      <c r="R32" s="471"/>
      <c r="S32" s="471"/>
      <c r="T32" s="471"/>
      <c r="U32" s="471"/>
      <c r="V32" s="471"/>
      <c r="W32" s="471"/>
      <c r="X32" s="471"/>
      <c r="Y32" s="471"/>
      <c r="Z32" s="471"/>
      <c r="AA32" s="471"/>
      <c r="AB32" s="471"/>
      <c r="AC32" s="471"/>
      <c r="AD32" s="471"/>
      <c r="AE32" s="471"/>
      <c r="AF32" s="471"/>
      <c r="AG32" s="471"/>
      <c r="AH32" s="471"/>
      <c r="AI32" s="471"/>
      <c r="AJ32" s="471"/>
      <c r="AK32" s="471"/>
      <c r="AL32" s="471"/>
      <c r="AM32" s="471"/>
      <c r="AN32" s="471"/>
      <c r="AO32" s="471"/>
      <c r="AP32" s="471"/>
      <c r="AQ32" s="172"/>
      <c r="AR32" s="172"/>
      <c r="AS32" s="172"/>
      <c r="AT32" s="172"/>
      <c r="AU32" s="172"/>
      <c r="AV32" s="172"/>
      <c r="AW32" s="172"/>
      <c r="AX32" s="173"/>
    </row>
    <row r="33" spans="1:50" s="174" customFormat="1" ht="13.5" customHeight="1" x14ac:dyDescent="0.4">
      <c r="A33" s="471"/>
      <c r="B33" s="471"/>
      <c r="C33" s="471"/>
      <c r="D33" s="471"/>
      <c r="E33" s="471"/>
      <c r="F33" s="471"/>
      <c r="G33" s="471"/>
      <c r="H33" s="471"/>
      <c r="I33" s="471"/>
      <c r="J33" s="471"/>
      <c r="K33" s="471"/>
      <c r="L33" s="471"/>
      <c r="M33" s="471"/>
      <c r="N33" s="471"/>
      <c r="O33" s="471"/>
      <c r="P33" s="471"/>
      <c r="Q33" s="471"/>
      <c r="R33" s="471"/>
      <c r="S33" s="471"/>
      <c r="T33" s="471"/>
      <c r="U33" s="471"/>
      <c r="V33" s="471"/>
      <c r="W33" s="471"/>
      <c r="X33" s="471"/>
      <c r="Y33" s="471"/>
      <c r="Z33" s="471"/>
      <c r="AA33" s="471"/>
      <c r="AB33" s="471"/>
      <c r="AC33" s="471"/>
      <c r="AD33" s="471"/>
      <c r="AE33" s="471"/>
      <c r="AF33" s="471"/>
      <c r="AG33" s="471"/>
      <c r="AH33" s="471"/>
      <c r="AI33" s="471"/>
      <c r="AJ33" s="471"/>
      <c r="AK33" s="471"/>
      <c r="AL33" s="471"/>
      <c r="AM33" s="471"/>
      <c r="AN33" s="471"/>
      <c r="AO33" s="471"/>
      <c r="AP33" s="471"/>
      <c r="AQ33" s="172"/>
      <c r="AR33" s="172"/>
      <c r="AS33" s="172"/>
      <c r="AT33" s="172"/>
      <c r="AU33" s="172"/>
      <c r="AV33" s="172"/>
      <c r="AW33" s="172"/>
      <c r="AX33" s="173"/>
    </row>
    <row r="34" spans="1:50" s="174" customFormat="1" ht="13.5" customHeight="1" x14ac:dyDescent="0.4">
      <c r="A34" s="471"/>
      <c r="B34" s="471"/>
      <c r="C34" s="471"/>
      <c r="D34" s="471"/>
      <c r="E34" s="471"/>
      <c r="F34" s="471"/>
      <c r="G34" s="471"/>
      <c r="H34" s="471"/>
      <c r="I34" s="471"/>
      <c r="J34" s="471"/>
      <c r="K34" s="471"/>
      <c r="L34" s="471"/>
      <c r="M34" s="471"/>
      <c r="N34" s="471"/>
      <c r="O34" s="471"/>
      <c r="P34" s="471"/>
      <c r="Q34" s="471"/>
      <c r="R34" s="471"/>
      <c r="S34" s="471"/>
      <c r="T34" s="471"/>
      <c r="U34" s="471"/>
      <c r="V34" s="471"/>
      <c r="W34" s="471"/>
      <c r="X34" s="471"/>
      <c r="Y34" s="471"/>
      <c r="Z34" s="471"/>
      <c r="AA34" s="471"/>
      <c r="AB34" s="471"/>
      <c r="AC34" s="471"/>
      <c r="AD34" s="471"/>
      <c r="AE34" s="471"/>
      <c r="AF34" s="471"/>
      <c r="AG34" s="471"/>
      <c r="AH34" s="471"/>
      <c r="AI34" s="471"/>
      <c r="AJ34" s="471"/>
      <c r="AK34" s="471"/>
      <c r="AL34" s="471"/>
      <c r="AM34" s="471"/>
      <c r="AN34" s="471"/>
      <c r="AO34" s="471"/>
      <c r="AP34" s="471"/>
      <c r="AQ34" s="172"/>
      <c r="AR34" s="172"/>
      <c r="AS34" s="172"/>
      <c r="AT34" s="172"/>
      <c r="AU34" s="172"/>
      <c r="AV34" s="172"/>
      <c r="AW34" s="172"/>
      <c r="AX34" s="173"/>
    </row>
    <row r="35" spans="1:50" s="174" customFormat="1" ht="13.5" customHeight="1" x14ac:dyDescent="0.4">
      <c r="A35" s="471"/>
      <c r="B35" s="471"/>
      <c r="C35" s="471"/>
      <c r="D35" s="471"/>
      <c r="E35" s="471"/>
      <c r="F35" s="471"/>
      <c r="G35" s="471"/>
      <c r="H35" s="471"/>
      <c r="I35" s="471"/>
      <c r="J35" s="471"/>
      <c r="K35" s="471"/>
      <c r="L35" s="471"/>
      <c r="M35" s="471"/>
      <c r="N35" s="471"/>
      <c r="O35" s="471"/>
      <c r="P35" s="471"/>
      <c r="Q35" s="471"/>
      <c r="R35" s="471"/>
      <c r="S35" s="471"/>
      <c r="T35" s="471"/>
      <c r="U35" s="471"/>
      <c r="V35" s="471"/>
      <c r="W35" s="471"/>
      <c r="X35" s="471"/>
      <c r="Y35" s="471"/>
      <c r="Z35" s="471"/>
      <c r="AA35" s="471"/>
      <c r="AB35" s="471"/>
      <c r="AC35" s="471"/>
      <c r="AD35" s="471"/>
      <c r="AE35" s="471"/>
      <c r="AF35" s="471"/>
      <c r="AG35" s="471"/>
      <c r="AH35" s="471"/>
      <c r="AI35" s="471"/>
      <c r="AJ35" s="471"/>
      <c r="AK35" s="471"/>
      <c r="AL35" s="471"/>
      <c r="AM35" s="471"/>
      <c r="AN35" s="471"/>
      <c r="AO35" s="471"/>
      <c r="AP35" s="471"/>
      <c r="AQ35" s="172"/>
      <c r="AR35" s="172"/>
      <c r="AS35" s="172"/>
      <c r="AT35" s="172"/>
      <c r="AU35" s="172"/>
      <c r="AV35" s="172"/>
      <c r="AW35" s="172"/>
      <c r="AX35" s="173"/>
    </row>
    <row r="36" spans="1:50" s="174" customFormat="1" ht="13.5" customHeight="1" x14ac:dyDescent="0.4">
      <c r="A36" s="471"/>
      <c r="B36" s="471"/>
      <c r="C36" s="471"/>
      <c r="D36" s="471"/>
      <c r="E36" s="471"/>
      <c r="F36" s="471"/>
      <c r="G36" s="471"/>
      <c r="H36" s="471"/>
      <c r="I36" s="471"/>
      <c r="J36" s="471"/>
      <c r="K36" s="471"/>
      <c r="L36" s="471"/>
      <c r="M36" s="471"/>
      <c r="N36" s="471"/>
      <c r="O36" s="471"/>
      <c r="P36" s="471"/>
      <c r="Q36" s="471"/>
      <c r="R36" s="471"/>
      <c r="S36" s="471"/>
      <c r="T36" s="471"/>
      <c r="U36" s="471"/>
      <c r="V36" s="471"/>
      <c r="W36" s="471"/>
      <c r="X36" s="471"/>
      <c r="Y36" s="471"/>
      <c r="Z36" s="471"/>
      <c r="AA36" s="471"/>
      <c r="AB36" s="471"/>
      <c r="AC36" s="471"/>
      <c r="AD36" s="471"/>
      <c r="AE36" s="471"/>
      <c r="AF36" s="471"/>
      <c r="AG36" s="471"/>
      <c r="AH36" s="471"/>
      <c r="AI36" s="471"/>
      <c r="AJ36" s="471"/>
      <c r="AK36" s="471"/>
      <c r="AL36" s="471"/>
      <c r="AM36" s="471"/>
      <c r="AN36" s="471"/>
      <c r="AO36" s="471"/>
      <c r="AP36" s="471"/>
      <c r="AQ36" s="172"/>
      <c r="AR36" s="172"/>
      <c r="AS36" s="172"/>
      <c r="AT36" s="172"/>
      <c r="AU36" s="172"/>
      <c r="AV36" s="172"/>
      <c r="AW36" s="172"/>
      <c r="AX36" s="173"/>
    </row>
    <row r="37" spans="1:50" s="174" customFormat="1" ht="13.5" customHeight="1" x14ac:dyDescent="0.4">
      <c r="A37" s="471"/>
      <c r="B37" s="471"/>
      <c r="C37" s="471"/>
      <c r="D37" s="471"/>
      <c r="E37" s="471"/>
      <c r="F37" s="471"/>
      <c r="G37" s="471"/>
      <c r="H37" s="471"/>
      <c r="I37" s="471"/>
      <c r="J37" s="471"/>
      <c r="K37" s="471"/>
      <c r="L37" s="471"/>
      <c r="M37" s="471"/>
      <c r="N37" s="471"/>
      <c r="O37" s="471"/>
      <c r="P37" s="471"/>
      <c r="Q37" s="471"/>
      <c r="R37" s="471"/>
      <c r="S37" s="471"/>
      <c r="T37" s="471"/>
      <c r="U37" s="471"/>
      <c r="V37" s="471"/>
      <c r="W37" s="471"/>
      <c r="X37" s="471"/>
      <c r="Y37" s="471"/>
      <c r="Z37" s="471"/>
      <c r="AA37" s="471"/>
      <c r="AB37" s="471"/>
      <c r="AC37" s="471"/>
      <c r="AD37" s="471"/>
      <c r="AE37" s="471"/>
      <c r="AF37" s="471"/>
      <c r="AG37" s="471"/>
      <c r="AH37" s="471"/>
      <c r="AI37" s="471"/>
      <c r="AJ37" s="471"/>
      <c r="AK37" s="471"/>
      <c r="AL37" s="471"/>
      <c r="AM37" s="471"/>
      <c r="AN37" s="471"/>
      <c r="AO37" s="471"/>
      <c r="AP37" s="471"/>
      <c r="AQ37" s="172"/>
      <c r="AR37" s="172"/>
      <c r="AS37" s="172"/>
      <c r="AT37" s="172"/>
      <c r="AU37" s="172"/>
      <c r="AV37" s="172"/>
      <c r="AW37" s="172"/>
      <c r="AX37" s="173"/>
    </row>
    <row r="38" spans="1:50" s="174" customFormat="1" ht="13.5" customHeight="1" x14ac:dyDescent="0.4">
      <c r="A38" s="471"/>
      <c r="B38" s="471"/>
      <c r="C38" s="471"/>
      <c r="D38" s="471"/>
      <c r="E38" s="471"/>
      <c r="F38" s="471"/>
      <c r="G38" s="471"/>
      <c r="H38" s="471"/>
      <c r="I38" s="471"/>
      <c r="J38" s="471"/>
      <c r="K38" s="471"/>
      <c r="L38" s="471"/>
      <c r="M38" s="471"/>
      <c r="N38" s="471"/>
      <c r="O38" s="471"/>
      <c r="P38" s="471"/>
      <c r="Q38" s="471"/>
      <c r="R38" s="471"/>
      <c r="S38" s="471"/>
      <c r="T38" s="471"/>
      <c r="U38" s="471"/>
      <c r="V38" s="471"/>
      <c r="W38" s="471"/>
      <c r="X38" s="471"/>
      <c r="Y38" s="471"/>
      <c r="Z38" s="471"/>
      <c r="AA38" s="471"/>
      <c r="AB38" s="471"/>
      <c r="AC38" s="471"/>
      <c r="AD38" s="471"/>
      <c r="AE38" s="471"/>
      <c r="AF38" s="471"/>
      <c r="AG38" s="471"/>
      <c r="AH38" s="471"/>
      <c r="AI38" s="471"/>
      <c r="AJ38" s="471"/>
      <c r="AK38" s="471"/>
      <c r="AL38" s="471"/>
      <c r="AM38" s="471"/>
      <c r="AN38" s="471"/>
      <c r="AO38" s="471"/>
      <c r="AP38" s="471"/>
      <c r="AQ38" s="172"/>
      <c r="AR38" s="172"/>
      <c r="AS38" s="172"/>
      <c r="AT38" s="172"/>
      <c r="AU38" s="172"/>
      <c r="AV38" s="172"/>
      <c r="AW38" s="172"/>
      <c r="AX38" s="173"/>
    </row>
    <row r="39" spans="1:50" s="174" customFormat="1" ht="13.5" customHeight="1" x14ac:dyDescent="0.4">
      <c r="A39" s="471"/>
      <c r="B39" s="471"/>
      <c r="C39" s="471"/>
      <c r="D39" s="471"/>
      <c r="E39" s="471"/>
      <c r="F39" s="471"/>
      <c r="G39" s="471"/>
      <c r="H39" s="471"/>
      <c r="I39" s="471"/>
      <c r="J39" s="471"/>
      <c r="K39" s="471"/>
      <c r="L39" s="471"/>
      <c r="M39" s="471"/>
      <c r="N39" s="471"/>
      <c r="O39" s="471"/>
      <c r="P39" s="471"/>
      <c r="Q39" s="471"/>
      <c r="R39" s="471"/>
      <c r="S39" s="471"/>
      <c r="T39" s="471"/>
      <c r="U39" s="471"/>
      <c r="V39" s="471"/>
      <c r="W39" s="471"/>
      <c r="X39" s="471"/>
      <c r="Y39" s="471"/>
      <c r="Z39" s="471"/>
      <c r="AA39" s="471"/>
      <c r="AB39" s="471"/>
      <c r="AC39" s="471"/>
      <c r="AD39" s="471"/>
      <c r="AE39" s="471"/>
      <c r="AF39" s="471"/>
      <c r="AG39" s="471"/>
      <c r="AH39" s="471"/>
      <c r="AI39" s="471"/>
      <c r="AJ39" s="471"/>
      <c r="AK39" s="471"/>
      <c r="AL39" s="471"/>
      <c r="AM39" s="471"/>
      <c r="AN39" s="471"/>
      <c r="AO39" s="471"/>
      <c r="AP39" s="471"/>
      <c r="AQ39" s="172"/>
      <c r="AR39" s="172"/>
      <c r="AS39" s="172"/>
      <c r="AT39" s="172"/>
      <c r="AU39" s="172"/>
      <c r="AV39" s="172"/>
      <c r="AW39" s="172"/>
      <c r="AX39" s="173"/>
    </row>
    <row r="40" spans="1:50" s="174" customFormat="1" ht="13.5" customHeight="1" x14ac:dyDescent="0.4">
      <c r="A40" s="471"/>
      <c r="B40" s="471"/>
      <c r="C40" s="471"/>
      <c r="D40" s="471"/>
      <c r="E40" s="471"/>
      <c r="F40" s="471"/>
      <c r="G40" s="471"/>
      <c r="H40" s="471"/>
      <c r="I40" s="471"/>
      <c r="J40" s="471"/>
      <c r="K40" s="471"/>
      <c r="L40" s="471"/>
      <c r="M40" s="471"/>
      <c r="N40" s="471"/>
      <c r="O40" s="471"/>
      <c r="P40" s="471"/>
      <c r="Q40" s="471"/>
      <c r="R40" s="471"/>
      <c r="S40" s="471"/>
      <c r="T40" s="471"/>
      <c r="U40" s="471"/>
      <c r="V40" s="471"/>
      <c r="W40" s="471"/>
      <c r="X40" s="471"/>
      <c r="Y40" s="471"/>
      <c r="Z40" s="471"/>
      <c r="AA40" s="471"/>
      <c r="AB40" s="471"/>
      <c r="AC40" s="471"/>
      <c r="AD40" s="471"/>
      <c r="AE40" s="471"/>
      <c r="AF40" s="471"/>
      <c r="AG40" s="471"/>
      <c r="AH40" s="471"/>
      <c r="AI40" s="471"/>
      <c r="AJ40" s="471"/>
      <c r="AK40" s="471"/>
      <c r="AL40" s="471"/>
      <c r="AM40" s="471"/>
      <c r="AN40" s="471"/>
      <c r="AO40" s="471"/>
      <c r="AP40" s="471"/>
      <c r="AQ40" s="172"/>
      <c r="AR40" s="172"/>
      <c r="AS40" s="172"/>
      <c r="AT40" s="172"/>
      <c r="AU40" s="172"/>
      <c r="AV40" s="172"/>
      <c r="AW40" s="172"/>
      <c r="AX40" s="173"/>
    </row>
    <row r="41" spans="1:50" s="174" customFormat="1" ht="13.5" customHeight="1" x14ac:dyDescent="0.4">
      <c r="A41" s="471"/>
      <c r="B41" s="471"/>
      <c r="C41" s="471"/>
      <c r="D41" s="471"/>
      <c r="E41" s="471"/>
      <c r="F41" s="471"/>
      <c r="G41" s="471"/>
      <c r="H41" s="471"/>
      <c r="I41" s="471"/>
      <c r="J41" s="471"/>
      <c r="K41" s="471"/>
      <c r="L41" s="471"/>
      <c r="M41" s="471"/>
      <c r="N41" s="471"/>
      <c r="O41" s="471"/>
      <c r="P41" s="471"/>
      <c r="Q41" s="471"/>
      <c r="R41" s="471"/>
      <c r="S41" s="471"/>
      <c r="T41" s="471"/>
      <c r="U41" s="471"/>
      <c r="V41" s="471"/>
      <c r="W41" s="471"/>
      <c r="X41" s="471"/>
      <c r="Y41" s="471"/>
      <c r="Z41" s="471"/>
      <c r="AA41" s="471"/>
      <c r="AB41" s="471"/>
      <c r="AC41" s="471"/>
      <c r="AD41" s="471"/>
      <c r="AE41" s="471"/>
      <c r="AF41" s="471"/>
      <c r="AG41" s="471"/>
      <c r="AH41" s="471"/>
      <c r="AI41" s="471"/>
      <c r="AJ41" s="471"/>
      <c r="AK41" s="471"/>
      <c r="AL41" s="471"/>
      <c r="AM41" s="471"/>
      <c r="AN41" s="471"/>
      <c r="AO41" s="471"/>
      <c r="AP41" s="471"/>
      <c r="AQ41" s="172"/>
      <c r="AR41" s="172"/>
      <c r="AS41" s="172"/>
      <c r="AT41" s="172"/>
      <c r="AU41" s="172"/>
      <c r="AV41" s="172"/>
      <c r="AW41" s="172"/>
      <c r="AX41" s="173"/>
    </row>
    <row r="42" spans="1:50" s="174" customFormat="1" ht="13.5" customHeight="1" x14ac:dyDescent="0.4">
      <c r="A42" s="471"/>
      <c r="B42" s="471"/>
      <c r="C42" s="471"/>
      <c r="D42" s="471"/>
      <c r="E42" s="471"/>
      <c r="F42" s="471"/>
      <c r="G42" s="471"/>
      <c r="H42" s="471"/>
      <c r="I42" s="471"/>
      <c r="J42" s="471"/>
      <c r="K42" s="471"/>
      <c r="L42" s="471"/>
      <c r="M42" s="471"/>
      <c r="N42" s="471"/>
      <c r="O42" s="471"/>
      <c r="P42" s="471"/>
      <c r="Q42" s="471"/>
      <c r="R42" s="471"/>
      <c r="S42" s="471"/>
      <c r="T42" s="471"/>
      <c r="U42" s="471"/>
      <c r="V42" s="471"/>
      <c r="W42" s="471"/>
      <c r="X42" s="471"/>
      <c r="Y42" s="471"/>
      <c r="Z42" s="471"/>
      <c r="AA42" s="471"/>
      <c r="AB42" s="471"/>
      <c r="AC42" s="471"/>
      <c r="AD42" s="471"/>
      <c r="AE42" s="471"/>
      <c r="AF42" s="471"/>
      <c r="AG42" s="471"/>
      <c r="AH42" s="471"/>
      <c r="AI42" s="471"/>
      <c r="AJ42" s="471"/>
      <c r="AK42" s="471"/>
      <c r="AL42" s="471"/>
      <c r="AM42" s="471"/>
      <c r="AN42" s="471"/>
      <c r="AO42" s="471"/>
      <c r="AP42" s="471"/>
      <c r="AQ42" s="172"/>
      <c r="AR42" s="172"/>
      <c r="AS42" s="172"/>
      <c r="AT42" s="172"/>
      <c r="AU42" s="172"/>
      <c r="AV42" s="172"/>
      <c r="AW42" s="172"/>
      <c r="AX42" s="173"/>
    </row>
    <row r="43" spans="1:50" s="174" customFormat="1" ht="13.5" customHeight="1" x14ac:dyDescent="0.4">
      <c r="A43" s="471"/>
      <c r="B43" s="471"/>
      <c r="C43" s="471"/>
      <c r="D43" s="471"/>
      <c r="E43" s="471"/>
      <c r="F43" s="471"/>
      <c r="G43" s="471"/>
      <c r="H43" s="471"/>
      <c r="I43" s="471"/>
      <c r="J43" s="471"/>
      <c r="K43" s="471"/>
      <c r="L43" s="471"/>
      <c r="M43" s="471"/>
      <c r="N43" s="471"/>
      <c r="O43" s="471"/>
      <c r="P43" s="471"/>
      <c r="Q43" s="471"/>
      <c r="R43" s="471"/>
      <c r="S43" s="471"/>
      <c r="T43" s="471"/>
      <c r="U43" s="471"/>
      <c r="V43" s="471"/>
      <c r="W43" s="471"/>
      <c r="X43" s="471"/>
      <c r="Y43" s="471"/>
      <c r="Z43" s="471"/>
      <c r="AA43" s="471"/>
      <c r="AB43" s="471"/>
      <c r="AC43" s="471"/>
      <c r="AD43" s="471"/>
      <c r="AE43" s="471"/>
      <c r="AF43" s="471"/>
      <c r="AG43" s="471"/>
      <c r="AH43" s="471"/>
      <c r="AI43" s="471"/>
      <c r="AJ43" s="471"/>
      <c r="AK43" s="471"/>
      <c r="AL43" s="471"/>
      <c r="AM43" s="471"/>
      <c r="AN43" s="471"/>
      <c r="AO43" s="471"/>
      <c r="AP43" s="471"/>
      <c r="AQ43" s="172"/>
      <c r="AR43" s="172"/>
      <c r="AS43" s="172"/>
      <c r="AT43" s="172"/>
      <c r="AU43" s="172"/>
      <c r="AV43" s="172"/>
      <c r="AW43" s="172"/>
      <c r="AX43" s="173"/>
    </row>
    <row r="44" spans="1:50" s="174" customFormat="1" ht="13.5" customHeight="1" x14ac:dyDescent="0.4">
      <c r="A44" s="471"/>
      <c r="B44" s="471"/>
      <c r="C44" s="471"/>
      <c r="D44" s="471"/>
      <c r="E44" s="471"/>
      <c r="F44" s="471"/>
      <c r="G44" s="471"/>
      <c r="H44" s="471"/>
      <c r="I44" s="471"/>
      <c r="J44" s="471"/>
      <c r="K44" s="471"/>
      <c r="L44" s="471"/>
      <c r="M44" s="471"/>
      <c r="N44" s="471"/>
      <c r="O44" s="471"/>
      <c r="P44" s="471"/>
      <c r="Q44" s="471"/>
      <c r="R44" s="471"/>
      <c r="S44" s="471"/>
      <c r="T44" s="471"/>
      <c r="U44" s="471"/>
      <c r="V44" s="471"/>
      <c r="W44" s="471"/>
      <c r="X44" s="471"/>
      <c r="Y44" s="471"/>
      <c r="Z44" s="471"/>
      <c r="AA44" s="471"/>
      <c r="AB44" s="471"/>
      <c r="AC44" s="471"/>
      <c r="AD44" s="471"/>
      <c r="AE44" s="471"/>
      <c r="AF44" s="471"/>
      <c r="AG44" s="471"/>
      <c r="AH44" s="471"/>
      <c r="AI44" s="471"/>
      <c r="AJ44" s="471"/>
      <c r="AK44" s="471"/>
      <c r="AL44" s="471"/>
      <c r="AM44" s="471"/>
      <c r="AN44" s="471"/>
      <c r="AO44" s="471"/>
      <c r="AP44" s="471"/>
      <c r="AQ44" s="172"/>
      <c r="AR44" s="172"/>
      <c r="AS44" s="172"/>
      <c r="AT44" s="172"/>
      <c r="AU44" s="172"/>
      <c r="AV44" s="172"/>
      <c r="AW44" s="172"/>
      <c r="AX44" s="173"/>
    </row>
    <row r="45" spans="1:50" s="174" customFormat="1" ht="13.5" customHeight="1" x14ac:dyDescent="0.4">
      <c r="A45" s="471"/>
      <c r="B45" s="471"/>
      <c r="C45" s="471"/>
      <c r="D45" s="471"/>
      <c r="E45" s="471"/>
      <c r="F45" s="471"/>
      <c r="G45" s="471"/>
      <c r="H45" s="471"/>
      <c r="I45" s="471"/>
      <c r="J45" s="471"/>
      <c r="K45" s="471"/>
      <c r="L45" s="471"/>
      <c r="M45" s="471"/>
      <c r="N45" s="471"/>
      <c r="O45" s="471"/>
      <c r="P45" s="471"/>
      <c r="Q45" s="471"/>
      <c r="R45" s="471"/>
      <c r="S45" s="471"/>
      <c r="T45" s="471"/>
      <c r="U45" s="471"/>
      <c r="V45" s="471"/>
      <c r="W45" s="471"/>
      <c r="X45" s="471"/>
      <c r="Y45" s="471"/>
      <c r="Z45" s="471"/>
      <c r="AA45" s="471"/>
      <c r="AB45" s="471"/>
      <c r="AC45" s="471"/>
      <c r="AD45" s="471"/>
      <c r="AE45" s="471"/>
      <c r="AF45" s="471"/>
      <c r="AG45" s="471"/>
      <c r="AH45" s="471"/>
      <c r="AI45" s="471"/>
      <c r="AJ45" s="471"/>
      <c r="AK45" s="471"/>
      <c r="AL45" s="471"/>
      <c r="AM45" s="471"/>
      <c r="AN45" s="471"/>
      <c r="AO45" s="471"/>
      <c r="AP45" s="471"/>
      <c r="AQ45" s="172"/>
      <c r="AR45" s="172"/>
      <c r="AS45" s="172"/>
      <c r="AT45" s="172"/>
      <c r="AU45" s="172"/>
      <c r="AV45" s="172"/>
      <c r="AW45" s="172"/>
      <c r="AX45" s="173"/>
    </row>
    <row r="46" spans="1:50" s="174" customFormat="1" ht="13.5" customHeight="1" x14ac:dyDescent="0.4">
      <c r="A46" s="471"/>
      <c r="B46" s="471"/>
      <c r="C46" s="471"/>
      <c r="D46" s="471"/>
      <c r="E46" s="471"/>
      <c r="F46" s="471"/>
      <c r="G46" s="471"/>
      <c r="H46" s="471"/>
      <c r="I46" s="471"/>
      <c r="J46" s="471"/>
      <c r="K46" s="471"/>
      <c r="L46" s="471"/>
      <c r="M46" s="471"/>
      <c r="N46" s="471"/>
      <c r="O46" s="471"/>
      <c r="P46" s="471"/>
      <c r="Q46" s="471"/>
      <c r="R46" s="471"/>
      <c r="S46" s="471"/>
      <c r="T46" s="471"/>
      <c r="U46" s="471"/>
      <c r="V46" s="471"/>
      <c r="W46" s="471"/>
      <c r="X46" s="471"/>
      <c r="Y46" s="471"/>
      <c r="Z46" s="471"/>
      <c r="AA46" s="471"/>
      <c r="AB46" s="471"/>
      <c r="AC46" s="471"/>
      <c r="AD46" s="471"/>
      <c r="AE46" s="471"/>
      <c r="AF46" s="471"/>
      <c r="AG46" s="471"/>
      <c r="AH46" s="471"/>
      <c r="AI46" s="471"/>
      <c r="AJ46" s="471"/>
      <c r="AK46" s="471"/>
      <c r="AL46" s="471"/>
      <c r="AM46" s="471"/>
      <c r="AN46" s="471"/>
      <c r="AO46" s="471"/>
      <c r="AP46" s="471"/>
      <c r="AQ46" s="172"/>
      <c r="AR46" s="172"/>
      <c r="AS46" s="172"/>
      <c r="AT46" s="172"/>
      <c r="AU46" s="172"/>
      <c r="AV46" s="172"/>
      <c r="AW46" s="172"/>
      <c r="AX46" s="173"/>
    </row>
    <row r="47" spans="1:50" s="174" customFormat="1" ht="13.5" customHeight="1" x14ac:dyDescent="0.4">
      <c r="A47" s="471"/>
      <c r="B47" s="471"/>
      <c r="C47" s="471"/>
      <c r="D47" s="471"/>
      <c r="E47" s="471"/>
      <c r="F47" s="471"/>
      <c r="G47" s="471"/>
      <c r="H47" s="471"/>
      <c r="I47" s="471"/>
      <c r="J47" s="471"/>
      <c r="K47" s="471"/>
      <c r="L47" s="471"/>
      <c r="M47" s="471"/>
      <c r="N47" s="471"/>
      <c r="O47" s="471"/>
      <c r="P47" s="471"/>
      <c r="Q47" s="471"/>
      <c r="R47" s="471"/>
      <c r="S47" s="471"/>
      <c r="T47" s="471"/>
      <c r="U47" s="471"/>
      <c r="V47" s="471"/>
      <c r="W47" s="471"/>
      <c r="X47" s="471"/>
      <c r="Y47" s="471"/>
      <c r="Z47" s="471"/>
      <c r="AA47" s="471"/>
      <c r="AB47" s="471"/>
      <c r="AC47" s="471"/>
      <c r="AD47" s="471"/>
      <c r="AE47" s="471"/>
      <c r="AF47" s="471"/>
      <c r="AG47" s="471"/>
      <c r="AH47" s="471"/>
      <c r="AI47" s="471"/>
      <c r="AJ47" s="471"/>
      <c r="AK47" s="471"/>
      <c r="AL47" s="471"/>
      <c r="AM47" s="471"/>
      <c r="AN47" s="471"/>
      <c r="AO47" s="471"/>
      <c r="AP47" s="471"/>
      <c r="AQ47" s="172"/>
      <c r="AR47" s="172"/>
      <c r="AS47" s="172"/>
      <c r="AT47" s="172"/>
      <c r="AU47" s="172"/>
      <c r="AV47" s="172"/>
      <c r="AW47" s="172"/>
      <c r="AX47" s="173"/>
    </row>
    <row r="48" spans="1:50" s="174" customFormat="1" ht="13.5" customHeight="1" x14ac:dyDescent="0.4">
      <c r="A48" s="471"/>
      <c r="B48" s="471"/>
      <c r="C48" s="471"/>
      <c r="D48" s="471"/>
      <c r="E48" s="471"/>
      <c r="F48" s="471"/>
      <c r="G48" s="471"/>
      <c r="H48" s="471"/>
      <c r="I48" s="471"/>
      <c r="J48" s="471"/>
      <c r="K48" s="471"/>
      <c r="L48" s="471"/>
      <c r="M48" s="471"/>
      <c r="N48" s="471"/>
      <c r="O48" s="471"/>
      <c r="P48" s="471"/>
      <c r="Q48" s="471"/>
      <c r="R48" s="471"/>
      <c r="S48" s="471"/>
      <c r="T48" s="471"/>
      <c r="U48" s="471"/>
      <c r="V48" s="471"/>
      <c r="W48" s="471"/>
      <c r="X48" s="471"/>
      <c r="Y48" s="471"/>
      <c r="Z48" s="471"/>
      <c r="AA48" s="471"/>
      <c r="AB48" s="471"/>
      <c r="AC48" s="471"/>
      <c r="AD48" s="471"/>
      <c r="AE48" s="471"/>
      <c r="AF48" s="471"/>
      <c r="AG48" s="471"/>
      <c r="AH48" s="471"/>
      <c r="AI48" s="471"/>
      <c r="AJ48" s="471"/>
      <c r="AK48" s="471"/>
      <c r="AL48" s="471"/>
      <c r="AM48" s="471"/>
      <c r="AN48" s="471"/>
      <c r="AO48" s="471"/>
      <c r="AP48" s="471"/>
      <c r="AQ48" s="172"/>
      <c r="AR48" s="172"/>
      <c r="AS48" s="172"/>
      <c r="AT48" s="172"/>
      <c r="AU48" s="172"/>
      <c r="AV48" s="172"/>
      <c r="AW48" s="172"/>
      <c r="AX48" s="173"/>
    </row>
    <row r="49" spans="1:50" s="174" customFormat="1" ht="13.5" customHeight="1" x14ac:dyDescent="0.4">
      <c r="A49" s="471"/>
      <c r="B49" s="471"/>
      <c r="C49" s="471"/>
      <c r="D49" s="471"/>
      <c r="E49" s="471"/>
      <c r="F49" s="471"/>
      <c r="G49" s="471"/>
      <c r="H49" s="471"/>
      <c r="I49" s="471"/>
      <c r="J49" s="471"/>
      <c r="K49" s="471"/>
      <c r="L49" s="471"/>
      <c r="M49" s="471"/>
      <c r="N49" s="471"/>
      <c r="O49" s="471"/>
      <c r="P49" s="471"/>
      <c r="Q49" s="471"/>
      <c r="R49" s="471"/>
      <c r="S49" s="471"/>
      <c r="T49" s="471"/>
      <c r="U49" s="471"/>
      <c r="V49" s="471"/>
      <c r="W49" s="471"/>
      <c r="X49" s="471"/>
      <c r="Y49" s="471"/>
      <c r="Z49" s="471"/>
      <c r="AA49" s="471"/>
      <c r="AB49" s="471"/>
      <c r="AC49" s="471"/>
      <c r="AD49" s="471"/>
      <c r="AE49" s="471"/>
      <c r="AF49" s="471"/>
      <c r="AG49" s="471"/>
      <c r="AH49" s="471"/>
      <c r="AI49" s="471"/>
      <c r="AJ49" s="471"/>
      <c r="AK49" s="471"/>
      <c r="AL49" s="471"/>
      <c r="AM49" s="471"/>
      <c r="AN49" s="471"/>
      <c r="AO49" s="471"/>
      <c r="AP49" s="471"/>
      <c r="AQ49" s="173"/>
      <c r="AR49" s="173"/>
      <c r="AS49" s="173"/>
      <c r="AT49" s="173"/>
      <c r="AU49" s="173"/>
      <c r="AV49" s="173"/>
      <c r="AW49" s="173"/>
      <c r="AX49" s="173"/>
    </row>
    <row r="50" spans="1:50" s="174" customFormat="1" ht="13.5" customHeight="1" x14ac:dyDescent="0.4">
      <c r="A50" s="471"/>
      <c r="B50" s="471"/>
      <c r="C50" s="471"/>
      <c r="D50" s="471"/>
      <c r="E50" s="471"/>
      <c r="F50" s="471"/>
      <c r="G50" s="471"/>
      <c r="H50" s="471"/>
      <c r="I50" s="471"/>
      <c r="J50" s="471"/>
      <c r="K50" s="471"/>
      <c r="L50" s="471"/>
      <c r="M50" s="471"/>
      <c r="N50" s="471"/>
      <c r="O50" s="471"/>
      <c r="P50" s="471"/>
      <c r="Q50" s="471"/>
      <c r="R50" s="471"/>
      <c r="S50" s="471"/>
      <c r="T50" s="471"/>
      <c r="U50" s="471"/>
      <c r="V50" s="471"/>
      <c r="W50" s="471"/>
      <c r="X50" s="471"/>
      <c r="Y50" s="471"/>
      <c r="Z50" s="471"/>
      <c r="AA50" s="471"/>
      <c r="AB50" s="471"/>
      <c r="AC50" s="471"/>
      <c r="AD50" s="471"/>
      <c r="AE50" s="471"/>
      <c r="AF50" s="471"/>
      <c r="AG50" s="471"/>
      <c r="AH50" s="471"/>
      <c r="AI50" s="471"/>
      <c r="AJ50" s="471"/>
      <c r="AK50" s="471"/>
      <c r="AL50" s="471"/>
      <c r="AM50" s="471"/>
      <c r="AN50" s="471"/>
      <c r="AO50" s="471"/>
      <c r="AP50" s="471"/>
      <c r="AQ50" s="173"/>
      <c r="AR50" s="173"/>
      <c r="AS50" s="173"/>
      <c r="AT50" s="173"/>
      <c r="AU50" s="173"/>
      <c r="AV50" s="173"/>
      <c r="AW50" s="173"/>
      <c r="AX50" s="173"/>
    </row>
    <row r="51" spans="1:50" s="174" customFormat="1" ht="13.5" customHeight="1" x14ac:dyDescent="0.4">
      <c r="A51" s="471"/>
      <c r="B51" s="471"/>
      <c r="C51" s="471"/>
      <c r="D51" s="471"/>
      <c r="E51" s="471"/>
      <c r="F51" s="471"/>
      <c r="G51" s="471"/>
      <c r="H51" s="471"/>
      <c r="I51" s="471"/>
      <c r="J51" s="471"/>
      <c r="K51" s="471"/>
      <c r="L51" s="471"/>
      <c r="M51" s="471"/>
      <c r="N51" s="471"/>
      <c r="O51" s="471"/>
      <c r="P51" s="471"/>
      <c r="Q51" s="471"/>
      <c r="R51" s="471"/>
      <c r="S51" s="471"/>
      <c r="T51" s="471"/>
      <c r="U51" s="471"/>
      <c r="V51" s="471"/>
      <c r="W51" s="471"/>
      <c r="X51" s="471"/>
      <c r="Y51" s="471"/>
      <c r="Z51" s="471"/>
      <c r="AA51" s="471"/>
      <c r="AB51" s="471"/>
      <c r="AC51" s="471"/>
      <c r="AD51" s="471"/>
      <c r="AE51" s="471"/>
      <c r="AF51" s="471"/>
      <c r="AG51" s="471"/>
      <c r="AH51" s="471"/>
      <c r="AI51" s="471"/>
      <c r="AJ51" s="471"/>
      <c r="AK51" s="471"/>
      <c r="AL51" s="471"/>
      <c r="AM51" s="471"/>
      <c r="AN51" s="471"/>
      <c r="AO51" s="471"/>
      <c r="AP51" s="471"/>
      <c r="AQ51" s="173"/>
      <c r="AR51" s="173"/>
      <c r="AS51" s="173"/>
      <c r="AT51" s="173"/>
      <c r="AU51" s="173"/>
      <c r="AV51" s="173"/>
      <c r="AW51" s="173"/>
      <c r="AX51" s="173"/>
    </row>
    <row r="52" spans="1:50" s="174" customFormat="1" ht="13.5" customHeight="1" x14ac:dyDescent="0.4">
      <c r="A52" s="471"/>
      <c r="B52" s="471"/>
      <c r="C52" s="471"/>
      <c r="D52" s="471"/>
      <c r="E52" s="471"/>
      <c r="F52" s="471"/>
      <c r="G52" s="471"/>
      <c r="H52" s="471"/>
      <c r="I52" s="471"/>
      <c r="J52" s="471"/>
      <c r="K52" s="471"/>
      <c r="L52" s="471"/>
      <c r="M52" s="471"/>
      <c r="N52" s="471"/>
      <c r="O52" s="471"/>
      <c r="P52" s="471"/>
      <c r="Q52" s="471"/>
      <c r="R52" s="471"/>
      <c r="S52" s="471"/>
      <c r="T52" s="471"/>
      <c r="U52" s="471"/>
      <c r="V52" s="471"/>
      <c r="W52" s="471"/>
      <c r="X52" s="471"/>
      <c r="Y52" s="471"/>
      <c r="Z52" s="471"/>
      <c r="AA52" s="471"/>
      <c r="AB52" s="471"/>
      <c r="AC52" s="471"/>
      <c r="AD52" s="471"/>
      <c r="AE52" s="471"/>
      <c r="AF52" s="471"/>
      <c r="AG52" s="471"/>
      <c r="AH52" s="471"/>
      <c r="AI52" s="471"/>
      <c r="AJ52" s="471"/>
      <c r="AK52" s="471"/>
      <c r="AL52" s="471"/>
      <c r="AM52" s="471"/>
      <c r="AN52" s="471"/>
      <c r="AO52" s="471"/>
      <c r="AP52" s="471"/>
      <c r="AQ52" s="173"/>
      <c r="AR52" s="173"/>
      <c r="AS52" s="173"/>
      <c r="AT52" s="173"/>
      <c r="AU52" s="173"/>
      <c r="AV52" s="173"/>
      <c r="AW52" s="173"/>
      <c r="AX52" s="173"/>
    </row>
    <row r="53" spans="1:50" s="174" customFormat="1" ht="13.5" customHeight="1" x14ac:dyDescent="0.4">
      <c r="A53" s="471"/>
      <c r="B53" s="471"/>
      <c r="C53" s="471"/>
      <c r="D53" s="471"/>
      <c r="E53" s="471"/>
      <c r="F53" s="471"/>
      <c r="G53" s="471"/>
      <c r="H53" s="471"/>
      <c r="I53" s="471"/>
      <c r="J53" s="471"/>
      <c r="K53" s="471"/>
      <c r="L53" s="471"/>
      <c r="M53" s="471"/>
      <c r="N53" s="471"/>
      <c r="O53" s="471"/>
      <c r="P53" s="471"/>
      <c r="Q53" s="471"/>
      <c r="R53" s="471"/>
      <c r="S53" s="471"/>
      <c r="T53" s="471"/>
      <c r="U53" s="471"/>
      <c r="V53" s="471"/>
      <c r="W53" s="471"/>
      <c r="X53" s="471"/>
      <c r="Y53" s="471"/>
      <c r="Z53" s="471"/>
      <c r="AA53" s="471"/>
      <c r="AB53" s="471"/>
      <c r="AC53" s="471"/>
      <c r="AD53" s="471"/>
      <c r="AE53" s="471"/>
      <c r="AF53" s="471"/>
      <c r="AG53" s="471"/>
      <c r="AH53" s="471"/>
      <c r="AI53" s="471"/>
      <c r="AJ53" s="471"/>
      <c r="AK53" s="471"/>
      <c r="AL53" s="471"/>
      <c r="AM53" s="471"/>
      <c r="AN53" s="471"/>
      <c r="AO53" s="471"/>
      <c r="AP53" s="471"/>
      <c r="AQ53" s="173"/>
      <c r="AR53" s="173"/>
      <c r="AS53" s="173"/>
      <c r="AT53" s="173"/>
      <c r="AU53" s="173"/>
      <c r="AV53" s="173"/>
      <c r="AW53" s="173"/>
      <c r="AX53" s="173"/>
    </row>
    <row r="54" spans="1:50" s="174" customFormat="1" ht="13.5" customHeight="1" x14ac:dyDescent="0.4">
      <c r="A54" s="471"/>
      <c r="B54" s="471"/>
      <c r="C54" s="471"/>
      <c r="D54" s="471"/>
      <c r="E54" s="471"/>
      <c r="F54" s="471"/>
      <c r="G54" s="471"/>
      <c r="H54" s="471"/>
      <c r="I54" s="471"/>
      <c r="J54" s="471"/>
      <c r="K54" s="471"/>
      <c r="L54" s="471"/>
      <c r="M54" s="471"/>
      <c r="N54" s="471"/>
      <c r="O54" s="471"/>
      <c r="P54" s="471"/>
      <c r="Q54" s="471"/>
      <c r="R54" s="471"/>
      <c r="S54" s="471"/>
      <c r="T54" s="471"/>
      <c r="U54" s="471"/>
      <c r="V54" s="471"/>
      <c r="W54" s="471"/>
      <c r="X54" s="471"/>
      <c r="Y54" s="471"/>
      <c r="Z54" s="471"/>
      <c r="AA54" s="471"/>
      <c r="AB54" s="471"/>
      <c r="AC54" s="471"/>
      <c r="AD54" s="471"/>
      <c r="AE54" s="471"/>
      <c r="AF54" s="471"/>
      <c r="AG54" s="471"/>
      <c r="AH54" s="471"/>
      <c r="AI54" s="471"/>
      <c r="AJ54" s="471"/>
      <c r="AK54" s="471"/>
      <c r="AL54" s="471"/>
      <c r="AM54" s="471"/>
      <c r="AN54" s="471"/>
      <c r="AO54" s="471"/>
      <c r="AP54" s="471"/>
      <c r="AQ54" s="173"/>
      <c r="AR54" s="173"/>
      <c r="AS54" s="173"/>
      <c r="AT54" s="173"/>
      <c r="AU54" s="173"/>
      <c r="AV54" s="173"/>
      <c r="AW54" s="173"/>
      <c r="AX54" s="173"/>
    </row>
    <row r="55" spans="1:50" s="174" customFormat="1" ht="13.5" customHeight="1" x14ac:dyDescent="0.4">
      <c r="A55" s="471"/>
      <c r="B55" s="471"/>
      <c r="C55" s="471"/>
      <c r="D55" s="471"/>
      <c r="E55" s="471"/>
      <c r="F55" s="471"/>
      <c r="G55" s="471"/>
      <c r="H55" s="471"/>
      <c r="I55" s="471"/>
      <c r="J55" s="471"/>
      <c r="K55" s="471"/>
      <c r="L55" s="471"/>
      <c r="M55" s="471"/>
      <c r="N55" s="471"/>
      <c r="O55" s="471"/>
      <c r="P55" s="471"/>
      <c r="Q55" s="471"/>
      <c r="R55" s="471"/>
      <c r="S55" s="471"/>
      <c r="T55" s="471"/>
      <c r="U55" s="471"/>
      <c r="V55" s="471"/>
      <c r="W55" s="471"/>
      <c r="X55" s="471"/>
      <c r="Y55" s="471"/>
      <c r="Z55" s="471"/>
      <c r="AA55" s="471"/>
      <c r="AB55" s="471"/>
      <c r="AC55" s="471"/>
      <c r="AD55" s="471"/>
      <c r="AE55" s="471"/>
      <c r="AF55" s="471"/>
      <c r="AG55" s="471"/>
      <c r="AH55" s="471"/>
      <c r="AI55" s="471"/>
      <c r="AJ55" s="471"/>
      <c r="AK55" s="471"/>
      <c r="AL55" s="471"/>
      <c r="AM55" s="471"/>
      <c r="AN55" s="471"/>
      <c r="AO55" s="471"/>
      <c r="AP55" s="471"/>
      <c r="AQ55" s="173"/>
      <c r="AR55" s="173"/>
      <c r="AS55" s="173"/>
      <c r="AT55" s="173"/>
      <c r="AU55" s="173"/>
      <c r="AV55" s="173"/>
      <c r="AW55" s="173"/>
      <c r="AX55" s="173"/>
    </row>
    <row r="56" spans="1:50" s="174" customFormat="1" ht="13.5" customHeight="1" x14ac:dyDescent="0.4">
      <c r="A56" s="471"/>
      <c r="B56" s="471"/>
      <c r="C56" s="471"/>
      <c r="D56" s="471"/>
      <c r="E56" s="471"/>
      <c r="F56" s="471"/>
      <c r="G56" s="471"/>
      <c r="H56" s="471"/>
      <c r="I56" s="471"/>
      <c r="J56" s="471"/>
      <c r="K56" s="471"/>
      <c r="L56" s="471"/>
      <c r="M56" s="471"/>
      <c r="N56" s="471"/>
      <c r="O56" s="471"/>
      <c r="P56" s="471"/>
      <c r="Q56" s="471"/>
      <c r="R56" s="471"/>
      <c r="S56" s="471"/>
      <c r="T56" s="471"/>
      <c r="U56" s="471"/>
      <c r="V56" s="471"/>
      <c r="W56" s="471"/>
      <c r="X56" s="471"/>
      <c r="Y56" s="471"/>
      <c r="Z56" s="471"/>
      <c r="AA56" s="471"/>
      <c r="AB56" s="471"/>
      <c r="AC56" s="471"/>
      <c r="AD56" s="471"/>
      <c r="AE56" s="471"/>
      <c r="AF56" s="471"/>
      <c r="AG56" s="471"/>
      <c r="AH56" s="471"/>
      <c r="AI56" s="471"/>
      <c r="AJ56" s="471"/>
      <c r="AK56" s="471"/>
      <c r="AL56" s="471"/>
      <c r="AM56" s="471"/>
      <c r="AN56" s="471"/>
      <c r="AO56" s="471"/>
      <c r="AP56" s="471"/>
      <c r="AQ56" s="173"/>
      <c r="AR56" s="173"/>
      <c r="AS56" s="173"/>
      <c r="AT56" s="173"/>
      <c r="AU56" s="173"/>
      <c r="AV56" s="173"/>
      <c r="AW56" s="173"/>
      <c r="AX56" s="173"/>
    </row>
    <row r="57" spans="1:50" s="174" customFormat="1" ht="13.5" customHeight="1" x14ac:dyDescent="0.4">
      <c r="A57" s="471"/>
      <c r="B57" s="471"/>
      <c r="C57" s="471"/>
      <c r="D57" s="471"/>
      <c r="E57" s="471"/>
      <c r="F57" s="471"/>
      <c r="G57" s="471"/>
      <c r="H57" s="471"/>
      <c r="I57" s="471"/>
      <c r="J57" s="471"/>
      <c r="K57" s="471"/>
      <c r="L57" s="471"/>
      <c r="M57" s="471"/>
      <c r="N57" s="471"/>
      <c r="O57" s="471"/>
      <c r="P57" s="471"/>
      <c r="Q57" s="471"/>
      <c r="R57" s="471"/>
      <c r="S57" s="471"/>
      <c r="T57" s="471"/>
      <c r="U57" s="471"/>
      <c r="V57" s="471"/>
      <c r="W57" s="471"/>
      <c r="X57" s="471"/>
      <c r="Y57" s="471"/>
      <c r="Z57" s="471"/>
      <c r="AA57" s="471"/>
      <c r="AB57" s="471"/>
      <c r="AC57" s="471"/>
      <c r="AD57" s="471"/>
      <c r="AE57" s="471"/>
      <c r="AF57" s="471"/>
      <c r="AG57" s="471"/>
      <c r="AH57" s="471"/>
      <c r="AI57" s="471"/>
      <c r="AJ57" s="471"/>
      <c r="AK57" s="471"/>
      <c r="AL57" s="471"/>
      <c r="AM57" s="471"/>
      <c r="AN57" s="471"/>
      <c r="AO57" s="471"/>
      <c r="AP57" s="471"/>
      <c r="AQ57" s="173"/>
      <c r="AR57" s="173"/>
      <c r="AS57" s="173"/>
      <c r="AT57" s="173"/>
      <c r="AU57" s="173"/>
      <c r="AV57" s="173"/>
      <c r="AW57" s="173"/>
      <c r="AX57" s="173"/>
    </row>
    <row r="58" spans="1:50" s="174" customFormat="1" ht="13.5" customHeight="1" x14ac:dyDescent="0.4">
      <c r="A58" s="471"/>
      <c r="B58" s="471"/>
      <c r="C58" s="471"/>
      <c r="D58" s="471"/>
      <c r="E58" s="471"/>
      <c r="F58" s="471"/>
      <c r="G58" s="471"/>
      <c r="H58" s="471"/>
      <c r="I58" s="471"/>
      <c r="J58" s="471"/>
      <c r="K58" s="471"/>
      <c r="L58" s="471"/>
      <c r="M58" s="471"/>
      <c r="N58" s="471"/>
      <c r="O58" s="471"/>
      <c r="P58" s="471"/>
      <c r="Q58" s="471"/>
      <c r="R58" s="471"/>
      <c r="S58" s="471"/>
      <c r="T58" s="471"/>
      <c r="U58" s="471"/>
      <c r="V58" s="471"/>
      <c r="W58" s="471"/>
      <c r="X58" s="471"/>
      <c r="Y58" s="471"/>
      <c r="Z58" s="471"/>
      <c r="AA58" s="471"/>
      <c r="AB58" s="471"/>
      <c r="AC58" s="471"/>
      <c r="AD58" s="471"/>
      <c r="AE58" s="471"/>
      <c r="AF58" s="471"/>
      <c r="AG58" s="471"/>
      <c r="AH58" s="471"/>
      <c r="AI58" s="471"/>
      <c r="AJ58" s="471"/>
      <c r="AK58" s="471"/>
      <c r="AL58" s="471"/>
      <c r="AM58" s="471"/>
      <c r="AN58" s="471"/>
      <c r="AO58" s="471"/>
      <c r="AP58" s="471"/>
      <c r="AQ58" s="173"/>
      <c r="AR58" s="173"/>
      <c r="AS58" s="173"/>
      <c r="AT58" s="173"/>
      <c r="AU58" s="173"/>
      <c r="AV58" s="173"/>
      <c r="AW58" s="173"/>
      <c r="AX58" s="173"/>
    </row>
    <row r="59" spans="1:50" s="174" customFormat="1" ht="13.5" customHeight="1" x14ac:dyDescent="0.4">
      <c r="A59" s="471"/>
      <c r="B59" s="471"/>
      <c r="C59" s="471"/>
      <c r="D59" s="471"/>
      <c r="E59" s="471"/>
      <c r="F59" s="471"/>
      <c r="G59" s="471"/>
      <c r="H59" s="471"/>
      <c r="I59" s="471"/>
      <c r="J59" s="471"/>
      <c r="K59" s="471"/>
      <c r="L59" s="471"/>
      <c r="M59" s="471"/>
      <c r="N59" s="471"/>
      <c r="O59" s="471"/>
      <c r="P59" s="471"/>
      <c r="Q59" s="471"/>
      <c r="R59" s="471"/>
      <c r="S59" s="471"/>
      <c r="T59" s="471"/>
      <c r="U59" s="471"/>
      <c r="V59" s="471"/>
      <c r="W59" s="471"/>
      <c r="X59" s="471"/>
      <c r="Y59" s="471"/>
      <c r="Z59" s="471"/>
      <c r="AA59" s="471"/>
      <c r="AB59" s="471"/>
      <c r="AC59" s="471"/>
      <c r="AD59" s="471"/>
      <c r="AE59" s="471"/>
      <c r="AF59" s="471"/>
      <c r="AG59" s="471"/>
      <c r="AH59" s="471"/>
      <c r="AI59" s="471"/>
      <c r="AJ59" s="471"/>
      <c r="AK59" s="471"/>
      <c r="AL59" s="471"/>
      <c r="AM59" s="471"/>
      <c r="AN59" s="471"/>
      <c r="AO59" s="471"/>
      <c r="AP59" s="471"/>
    </row>
    <row r="60" spans="1:50" s="174" customFormat="1" ht="13.5" customHeight="1" x14ac:dyDescent="0.4">
      <c r="A60" s="471"/>
      <c r="B60" s="471"/>
      <c r="C60" s="471"/>
      <c r="D60" s="471"/>
      <c r="E60" s="471"/>
      <c r="F60" s="471"/>
      <c r="G60" s="471"/>
      <c r="H60" s="471"/>
      <c r="I60" s="471"/>
      <c r="J60" s="471"/>
      <c r="K60" s="471"/>
      <c r="L60" s="471"/>
      <c r="M60" s="471"/>
      <c r="N60" s="471"/>
      <c r="O60" s="471"/>
      <c r="P60" s="471"/>
      <c r="Q60" s="471"/>
      <c r="R60" s="471"/>
      <c r="S60" s="471"/>
      <c r="T60" s="471"/>
      <c r="U60" s="471"/>
      <c r="V60" s="471"/>
      <c r="W60" s="471"/>
      <c r="X60" s="471"/>
      <c r="Y60" s="471"/>
      <c r="Z60" s="471"/>
      <c r="AA60" s="471"/>
      <c r="AB60" s="471"/>
      <c r="AC60" s="471"/>
      <c r="AD60" s="471"/>
      <c r="AE60" s="471"/>
      <c r="AF60" s="471"/>
      <c r="AG60" s="471"/>
      <c r="AH60" s="471"/>
      <c r="AI60" s="471"/>
      <c r="AJ60" s="471"/>
      <c r="AK60" s="471"/>
      <c r="AL60" s="471"/>
      <c r="AM60" s="471"/>
      <c r="AN60" s="471"/>
      <c r="AO60" s="471"/>
      <c r="AP60" s="471"/>
    </row>
    <row r="61" spans="1:50" s="174" customFormat="1" ht="15" customHeight="1" x14ac:dyDescent="0.4">
      <c r="A61" s="471"/>
      <c r="B61" s="471"/>
      <c r="C61" s="471"/>
      <c r="D61" s="471"/>
      <c r="E61" s="471"/>
      <c r="F61" s="471"/>
      <c r="G61" s="471"/>
      <c r="H61" s="471"/>
      <c r="I61" s="471"/>
      <c r="J61" s="471"/>
      <c r="K61" s="471"/>
      <c r="L61" s="471"/>
      <c r="M61" s="471"/>
      <c r="N61" s="471"/>
      <c r="O61" s="471"/>
      <c r="P61" s="471"/>
      <c r="Q61" s="471"/>
      <c r="R61" s="471"/>
      <c r="S61" s="471"/>
      <c r="T61" s="471"/>
      <c r="U61" s="471"/>
      <c r="V61" s="471"/>
      <c r="W61" s="471"/>
      <c r="X61" s="471"/>
      <c r="Y61" s="471"/>
      <c r="Z61" s="471"/>
      <c r="AA61" s="471"/>
      <c r="AB61" s="471"/>
      <c r="AC61" s="471"/>
      <c r="AD61" s="471"/>
      <c r="AE61" s="471"/>
      <c r="AF61" s="471"/>
      <c r="AG61" s="471"/>
      <c r="AH61" s="471"/>
      <c r="AI61" s="471"/>
      <c r="AJ61" s="471"/>
      <c r="AK61" s="471"/>
      <c r="AL61" s="471"/>
      <c r="AM61" s="471"/>
      <c r="AN61" s="471"/>
      <c r="AO61" s="471"/>
      <c r="AP61" s="471"/>
    </row>
    <row r="62" spans="1:50" s="174" customFormat="1" ht="15" customHeight="1" x14ac:dyDescent="0.4">
      <c r="A62" s="471"/>
      <c r="B62" s="471"/>
      <c r="C62" s="471"/>
      <c r="D62" s="471"/>
      <c r="E62" s="471"/>
      <c r="F62" s="471"/>
      <c r="G62" s="471"/>
      <c r="H62" s="471"/>
      <c r="I62" s="471"/>
      <c r="J62" s="471"/>
      <c r="K62" s="471"/>
      <c r="L62" s="471"/>
      <c r="M62" s="471"/>
      <c r="N62" s="471"/>
      <c r="O62" s="471"/>
      <c r="P62" s="471"/>
      <c r="Q62" s="471"/>
      <c r="R62" s="471"/>
      <c r="S62" s="471"/>
      <c r="T62" s="471"/>
      <c r="U62" s="471"/>
      <c r="V62" s="471"/>
      <c r="W62" s="471"/>
      <c r="X62" s="471"/>
      <c r="Y62" s="471"/>
      <c r="Z62" s="471"/>
      <c r="AA62" s="471"/>
      <c r="AB62" s="471"/>
      <c r="AC62" s="471"/>
      <c r="AD62" s="471"/>
      <c r="AE62" s="471"/>
      <c r="AF62" s="471"/>
      <c r="AG62" s="471"/>
      <c r="AH62" s="471"/>
      <c r="AI62" s="471"/>
      <c r="AJ62" s="471"/>
      <c r="AK62" s="471"/>
      <c r="AL62" s="471"/>
      <c r="AM62" s="471"/>
      <c r="AN62" s="471"/>
      <c r="AO62" s="471"/>
      <c r="AP62" s="471"/>
    </row>
    <row r="63" spans="1:50" s="174" customFormat="1" ht="15" customHeight="1" x14ac:dyDescent="0.4">
      <c r="A63" s="471"/>
      <c r="B63" s="471"/>
      <c r="C63" s="471"/>
      <c r="D63" s="471"/>
      <c r="E63" s="471"/>
      <c r="F63" s="471"/>
      <c r="G63" s="471"/>
      <c r="H63" s="471"/>
      <c r="I63" s="471"/>
      <c r="J63" s="471"/>
      <c r="K63" s="471"/>
      <c r="L63" s="471"/>
      <c r="M63" s="471"/>
      <c r="N63" s="471"/>
      <c r="O63" s="471"/>
      <c r="P63" s="471"/>
      <c r="Q63" s="471"/>
      <c r="R63" s="471"/>
      <c r="S63" s="471"/>
      <c r="T63" s="471"/>
      <c r="U63" s="471"/>
      <c r="V63" s="471"/>
      <c r="W63" s="471"/>
      <c r="X63" s="471"/>
      <c r="Y63" s="471"/>
      <c r="Z63" s="471"/>
      <c r="AA63" s="471"/>
      <c r="AB63" s="471"/>
      <c r="AC63" s="471"/>
      <c r="AD63" s="471"/>
      <c r="AE63" s="471"/>
      <c r="AF63" s="471"/>
      <c r="AG63" s="471"/>
      <c r="AH63" s="471"/>
      <c r="AI63" s="471"/>
      <c r="AJ63" s="471"/>
      <c r="AK63" s="471"/>
      <c r="AL63" s="471"/>
      <c r="AM63" s="471"/>
      <c r="AN63" s="471"/>
      <c r="AO63" s="471"/>
      <c r="AP63" s="471"/>
    </row>
    <row r="64" spans="1:50" s="174" customFormat="1" ht="15" customHeight="1" x14ac:dyDescent="0.4">
      <c r="A64" s="471"/>
      <c r="B64" s="471"/>
      <c r="C64" s="471"/>
      <c r="D64" s="471"/>
      <c r="E64" s="471"/>
      <c r="F64" s="471"/>
      <c r="G64" s="471"/>
      <c r="H64" s="471"/>
      <c r="I64" s="471"/>
      <c r="J64" s="471"/>
      <c r="K64" s="471"/>
      <c r="L64" s="471"/>
      <c r="M64" s="471"/>
      <c r="N64" s="471"/>
      <c r="O64" s="471"/>
      <c r="P64" s="471"/>
      <c r="Q64" s="471"/>
      <c r="R64" s="471"/>
      <c r="S64" s="471"/>
      <c r="T64" s="471"/>
      <c r="U64" s="471"/>
      <c r="V64" s="471"/>
      <c r="W64" s="471"/>
      <c r="X64" s="471"/>
      <c r="Y64" s="471"/>
      <c r="Z64" s="471"/>
      <c r="AA64" s="471"/>
      <c r="AB64" s="471"/>
      <c r="AC64" s="471"/>
      <c r="AD64" s="471"/>
      <c r="AE64" s="471"/>
      <c r="AF64" s="471"/>
      <c r="AG64" s="471"/>
      <c r="AH64" s="471"/>
      <c r="AI64" s="471"/>
      <c r="AJ64" s="471"/>
      <c r="AK64" s="471"/>
      <c r="AL64" s="471"/>
      <c r="AM64" s="471"/>
      <c r="AN64" s="471"/>
      <c r="AO64" s="471"/>
      <c r="AP64" s="471"/>
    </row>
    <row r="65" spans="1:42" s="174" customFormat="1" ht="15" customHeight="1" x14ac:dyDescent="0.4">
      <c r="A65" s="471"/>
      <c r="B65" s="471"/>
      <c r="C65" s="471"/>
      <c r="D65" s="471"/>
      <c r="E65" s="471"/>
      <c r="F65" s="471"/>
      <c r="G65" s="471"/>
      <c r="H65" s="471"/>
      <c r="I65" s="471"/>
      <c r="J65" s="471"/>
      <c r="K65" s="471"/>
      <c r="L65" s="471"/>
      <c r="M65" s="471"/>
      <c r="N65" s="471"/>
      <c r="O65" s="471"/>
      <c r="P65" s="471"/>
      <c r="Q65" s="471"/>
      <c r="R65" s="471"/>
      <c r="S65" s="471"/>
      <c r="T65" s="471"/>
      <c r="U65" s="471"/>
      <c r="V65" s="471"/>
      <c r="W65" s="471"/>
      <c r="X65" s="471"/>
      <c r="Y65" s="471"/>
      <c r="Z65" s="471"/>
      <c r="AA65" s="471"/>
      <c r="AB65" s="471"/>
      <c r="AC65" s="471"/>
      <c r="AD65" s="471"/>
      <c r="AE65" s="471"/>
      <c r="AF65" s="471"/>
      <c r="AG65" s="471"/>
      <c r="AH65" s="471"/>
      <c r="AI65" s="471"/>
      <c r="AJ65" s="471"/>
      <c r="AK65" s="471"/>
      <c r="AL65" s="471"/>
      <c r="AM65" s="471"/>
      <c r="AN65" s="471"/>
      <c r="AO65" s="471"/>
      <c r="AP65" s="471"/>
    </row>
    <row r="66" spans="1:42" s="174" customFormat="1" ht="15" customHeight="1" x14ac:dyDescent="0.4">
      <c r="A66" s="182"/>
      <c r="B66" s="183"/>
      <c r="C66" s="183"/>
      <c r="D66" s="183"/>
      <c r="E66" s="183"/>
      <c r="F66" s="183"/>
      <c r="G66" s="183"/>
      <c r="H66" s="183"/>
      <c r="I66" s="183"/>
      <c r="J66" s="183"/>
      <c r="K66" s="183"/>
      <c r="L66" s="183"/>
      <c r="M66" s="183"/>
      <c r="N66" s="183"/>
      <c r="O66" s="183"/>
      <c r="P66" s="183"/>
      <c r="Q66" s="183"/>
      <c r="R66" s="183"/>
      <c r="S66" s="183"/>
      <c r="T66" s="183"/>
      <c r="U66" s="184"/>
    </row>
    <row r="67" spans="1:42" s="174" customFormat="1" ht="15" customHeight="1" x14ac:dyDescent="0.4">
      <c r="A67" s="182"/>
      <c r="B67" s="183"/>
      <c r="C67" s="183"/>
      <c r="D67" s="183"/>
      <c r="E67" s="183"/>
      <c r="F67" s="183"/>
      <c r="G67" s="183"/>
      <c r="H67" s="183"/>
      <c r="I67" s="183"/>
      <c r="J67" s="183"/>
      <c r="K67" s="183"/>
      <c r="L67" s="183"/>
      <c r="M67" s="183"/>
      <c r="N67" s="183"/>
      <c r="O67" s="183"/>
      <c r="P67" s="183"/>
      <c r="Q67" s="183"/>
      <c r="R67" s="183"/>
      <c r="S67" s="183"/>
      <c r="T67" s="183"/>
      <c r="U67" s="183"/>
    </row>
    <row r="68" spans="1:42" s="174" customFormat="1" ht="15" customHeight="1" x14ac:dyDescent="0.4"/>
    <row r="69" spans="1:42" s="174" customFormat="1" ht="15" customHeight="1" x14ac:dyDescent="0.4"/>
    <row r="70" spans="1:42" s="174" customFormat="1" ht="15" customHeight="1" x14ac:dyDescent="0.4"/>
    <row r="71" spans="1:42" s="174" customFormat="1" ht="15" customHeight="1" x14ac:dyDescent="0.4"/>
    <row r="72" spans="1:42" s="174" customFormat="1" ht="15" customHeight="1" x14ac:dyDescent="0.4"/>
    <row r="73" spans="1:42" s="174" customFormat="1" ht="15" customHeight="1" x14ac:dyDescent="0.4"/>
    <row r="74" spans="1:42" s="174" customFormat="1" ht="15" customHeight="1" x14ac:dyDescent="0.4"/>
    <row r="75" spans="1:42" s="174" customFormat="1" ht="15" customHeight="1" x14ac:dyDescent="0.4"/>
    <row r="76" spans="1:42" s="174" customFormat="1" ht="15" customHeight="1" x14ac:dyDescent="0.4"/>
    <row r="77" spans="1:42" s="174" customFormat="1" ht="15" customHeight="1" x14ac:dyDescent="0.4"/>
    <row r="78" spans="1:42" s="174" customFormat="1" ht="15" customHeight="1" x14ac:dyDescent="0.4"/>
    <row r="79" spans="1:42" s="174" customFormat="1" ht="15" customHeight="1" x14ac:dyDescent="0.4"/>
    <row r="80" spans="1:42" s="174" customFormat="1" ht="15" customHeight="1" x14ac:dyDescent="0.4"/>
    <row r="81" s="174" customFormat="1" ht="15" customHeight="1" x14ac:dyDescent="0.4"/>
    <row r="82" s="174" customFormat="1" ht="15" customHeight="1" x14ac:dyDescent="0.4"/>
    <row r="83" s="174" customFormat="1" ht="15" customHeight="1" x14ac:dyDescent="0.4"/>
    <row r="84" s="174" customFormat="1" ht="15" customHeight="1" x14ac:dyDescent="0.4"/>
    <row r="85" s="174" customFormat="1" ht="15" customHeight="1" x14ac:dyDescent="0.4"/>
    <row r="86" s="174" customFormat="1" ht="15" customHeight="1" x14ac:dyDescent="0.4"/>
    <row r="87" s="174" customFormat="1" ht="15" customHeight="1" x14ac:dyDescent="0.4"/>
    <row r="88" s="174" customFormat="1" ht="15" customHeight="1" x14ac:dyDescent="0.4"/>
    <row r="89" s="174" customFormat="1" ht="15" customHeight="1" x14ac:dyDescent="0.4"/>
    <row r="90" s="174" customFormat="1" ht="15" customHeight="1" x14ac:dyDescent="0.4"/>
    <row r="91" s="174" customFormat="1" ht="15" customHeight="1" x14ac:dyDescent="0.4"/>
    <row r="92" s="174" customFormat="1" ht="15" customHeight="1" x14ac:dyDescent="0.4"/>
    <row r="93" s="174" customFormat="1" ht="15" customHeight="1" x14ac:dyDescent="0.4"/>
    <row r="94" s="174" customFormat="1" ht="15" customHeight="1" x14ac:dyDescent="0.4"/>
    <row r="95" s="174" customFormat="1" ht="15" customHeight="1" x14ac:dyDescent="0.4"/>
    <row r="96" s="174" customFormat="1" ht="15" customHeight="1" x14ac:dyDescent="0.4"/>
    <row r="97" s="174" customFormat="1" ht="15" customHeight="1" x14ac:dyDescent="0.4"/>
    <row r="98" s="174" customFormat="1" ht="15" customHeight="1" x14ac:dyDescent="0.4"/>
    <row r="99" s="174" customFormat="1" ht="15" customHeight="1" x14ac:dyDescent="0.4"/>
    <row r="100" s="174" customFormat="1" ht="15" customHeight="1" x14ac:dyDescent="0.4"/>
    <row r="101" s="174" customFormat="1" ht="15" customHeight="1" x14ac:dyDescent="0.4"/>
    <row r="102" s="174" customFormat="1" ht="15" customHeight="1" x14ac:dyDescent="0.4"/>
    <row r="103" s="174" customFormat="1" ht="15" customHeight="1" x14ac:dyDescent="0.4"/>
    <row r="104" s="174" customFormat="1" ht="15" customHeight="1" x14ac:dyDescent="0.4"/>
    <row r="105" s="174" customFormat="1" ht="15" customHeight="1" x14ac:dyDescent="0.4"/>
    <row r="106" s="174" customFormat="1" ht="15" customHeight="1" x14ac:dyDescent="0.4"/>
    <row r="107" s="174" customFormat="1" ht="15" customHeight="1" x14ac:dyDescent="0.4"/>
    <row r="108" s="174" customFormat="1" ht="15" customHeight="1" x14ac:dyDescent="0.4"/>
    <row r="109" s="174" customFormat="1" ht="15" customHeight="1" x14ac:dyDescent="0.4"/>
    <row r="110" s="174" customFormat="1" ht="15" customHeight="1" x14ac:dyDescent="0.4"/>
    <row r="111" s="174" customFormat="1" ht="15" customHeight="1" x14ac:dyDescent="0.4"/>
    <row r="112" s="174" customFormat="1" ht="15" customHeight="1" x14ac:dyDescent="0.4"/>
    <row r="113" s="174" customFormat="1" ht="15" customHeight="1" x14ac:dyDescent="0.4"/>
    <row r="114" s="174" customFormat="1" ht="15" customHeight="1" x14ac:dyDescent="0.4"/>
    <row r="115" s="174" customFormat="1" ht="15" customHeight="1" x14ac:dyDescent="0.4"/>
    <row r="116" s="174" customFormat="1" ht="15" customHeight="1" x14ac:dyDescent="0.4"/>
    <row r="117" s="174" customFormat="1" ht="15" customHeight="1" x14ac:dyDescent="0.4"/>
    <row r="118" s="174" customFormat="1" ht="15" customHeight="1" x14ac:dyDescent="0.4"/>
    <row r="119" s="174" customFormat="1" ht="15" customHeight="1" x14ac:dyDescent="0.4"/>
    <row r="120" s="174" customFormat="1" ht="15" customHeight="1" x14ac:dyDescent="0.4"/>
    <row r="121" s="174" customFormat="1" ht="15" customHeight="1" x14ac:dyDescent="0.4"/>
    <row r="122" s="174" customFormat="1" ht="15" customHeight="1" x14ac:dyDescent="0.4"/>
    <row r="123" s="174" customFormat="1" ht="15" customHeight="1" x14ac:dyDescent="0.4"/>
    <row r="124" s="174" customFormat="1" ht="15" customHeight="1" x14ac:dyDescent="0.4"/>
    <row r="125" s="174" customFormat="1" ht="15" customHeight="1" x14ac:dyDescent="0.4"/>
    <row r="126" s="174" customFormat="1" ht="15" customHeight="1" x14ac:dyDescent="0.4"/>
    <row r="127" s="174" customFormat="1" ht="15" customHeight="1" x14ac:dyDescent="0.4"/>
    <row r="128" s="174" customFormat="1" ht="15" customHeight="1" x14ac:dyDescent="0.4"/>
    <row r="129" s="174" customFormat="1" ht="15" customHeight="1" x14ac:dyDescent="0.4"/>
    <row r="130" s="174" customFormat="1" ht="15" customHeight="1" x14ac:dyDescent="0.4"/>
    <row r="131" s="174" customFormat="1" ht="15" customHeight="1" x14ac:dyDescent="0.4"/>
    <row r="132" s="174" customFormat="1" ht="15" customHeight="1" x14ac:dyDescent="0.4"/>
    <row r="133" s="174" customFormat="1" ht="15" customHeight="1" x14ac:dyDescent="0.4"/>
    <row r="134" s="174" customFormat="1" ht="15" customHeight="1" x14ac:dyDescent="0.4"/>
    <row r="135" s="174" customFormat="1" ht="15" customHeight="1" x14ac:dyDescent="0.4"/>
    <row r="136" s="174" customFormat="1" ht="15" customHeight="1" x14ac:dyDescent="0.4"/>
    <row r="137" s="174" customFormat="1" ht="15" customHeight="1" x14ac:dyDescent="0.4"/>
    <row r="138" s="174" customFormat="1" ht="15" customHeight="1" x14ac:dyDescent="0.4"/>
    <row r="139" s="174" customFormat="1" ht="15" customHeight="1" x14ac:dyDescent="0.4"/>
    <row r="140" s="174" customFormat="1" ht="15" customHeight="1" x14ac:dyDescent="0.4"/>
    <row r="141" s="174" customFormat="1" ht="15" customHeight="1" x14ac:dyDescent="0.4"/>
    <row r="142" s="174" customFormat="1" ht="15" customHeight="1" x14ac:dyDescent="0.4"/>
    <row r="143" s="174" customFormat="1" ht="15" customHeight="1" x14ac:dyDescent="0.4"/>
    <row r="144" s="174" customFormat="1" ht="15" customHeight="1" x14ac:dyDescent="0.4"/>
    <row r="145" s="174" customFormat="1" ht="15" customHeight="1" x14ac:dyDescent="0.4"/>
    <row r="146" s="174" customFormat="1" ht="15" customHeight="1" x14ac:dyDescent="0.4"/>
    <row r="147" s="174" customFormat="1" ht="15" customHeight="1" x14ac:dyDescent="0.4"/>
    <row r="148" s="174" customFormat="1" ht="15" customHeight="1" x14ac:dyDescent="0.4"/>
    <row r="149" s="174" customFormat="1" ht="15" customHeight="1" x14ac:dyDescent="0.4"/>
    <row r="150" s="174" customFormat="1" ht="15" customHeight="1" x14ac:dyDescent="0.4"/>
    <row r="151" s="174" customFormat="1" ht="15" customHeight="1" x14ac:dyDescent="0.4"/>
    <row r="152" s="174" customFormat="1" ht="15" customHeight="1" x14ac:dyDescent="0.4"/>
    <row r="153" s="174" customFormat="1" ht="15" customHeight="1" x14ac:dyDescent="0.4"/>
    <row r="154" s="174" customFormat="1" ht="15" customHeight="1" x14ac:dyDescent="0.4"/>
    <row r="155" s="174" customFormat="1" ht="15" customHeight="1" x14ac:dyDescent="0.4"/>
    <row r="156" s="174" customFormat="1" ht="15" customHeight="1" x14ac:dyDescent="0.4"/>
    <row r="157" s="174" customFormat="1" ht="15" customHeight="1" x14ac:dyDescent="0.4"/>
    <row r="158" s="174" customFormat="1" ht="15" customHeight="1" x14ac:dyDescent="0.4"/>
    <row r="159" s="174" customFormat="1" ht="15" customHeight="1" x14ac:dyDescent="0.4"/>
    <row r="160" s="174" customFormat="1" ht="15" customHeight="1" x14ac:dyDescent="0.4"/>
    <row r="161" s="174" customFormat="1" ht="15" customHeight="1" x14ac:dyDescent="0.4"/>
    <row r="162" s="174" customFormat="1" ht="15" customHeight="1" x14ac:dyDescent="0.4"/>
    <row r="163" s="174" customFormat="1" ht="15" customHeight="1" x14ac:dyDescent="0.4"/>
    <row r="164" s="174" customFormat="1" ht="15" customHeight="1" x14ac:dyDescent="0.4"/>
    <row r="165" s="174" customFormat="1" ht="15" customHeight="1" x14ac:dyDescent="0.4"/>
    <row r="166" s="174" customFormat="1" ht="15" customHeight="1" x14ac:dyDescent="0.4"/>
    <row r="167" s="174" customFormat="1" ht="15" customHeight="1" x14ac:dyDescent="0.4"/>
    <row r="168" s="174" customFormat="1" ht="15" customHeight="1" x14ac:dyDescent="0.4"/>
    <row r="169" s="174" customFormat="1" ht="15" customHeight="1" x14ac:dyDescent="0.4"/>
    <row r="170" s="174" customFormat="1" ht="15" customHeight="1" x14ac:dyDescent="0.4"/>
    <row r="171" s="174" customFormat="1" ht="15" customHeight="1" x14ac:dyDescent="0.4"/>
    <row r="172" s="174" customFormat="1" ht="15" customHeight="1" x14ac:dyDescent="0.4"/>
    <row r="173" s="174" customFormat="1" ht="15" customHeight="1" x14ac:dyDescent="0.4"/>
    <row r="174" s="174" customFormat="1" ht="15" customHeight="1" x14ac:dyDescent="0.4"/>
    <row r="175" s="174" customFormat="1" ht="15" customHeight="1" x14ac:dyDescent="0.4"/>
    <row r="176" s="174" customFormat="1" ht="15" customHeight="1" x14ac:dyDescent="0.4"/>
    <row r="177" s="174" customFormat="1" ht="15" customHeight="1" x14ac:dyDescent="0.4"/>
    <row r="178" s="174" customFormat="1" ht="15" customHeight="1" x14ac:dyDescent="0.4"/>
    <row r="179" s="174" customFormat="1" ht="15" customHeight="1" x14ac:dyDescent="0.4"/>
    <row r="180" s="174" customFormat="1" ht="15" customHeight="1" x14ac:dyDescent="0.4"/>
    <row r="181" s="174" customFormat="1" ht="15" customHeight="1" x14ac:dyDescent="0.4"/>
    <row r="182" s="174" customFormat="1" ht="15" customHeight="1" x14ac:dyDescent="0.4"/>
    <row r="183" s="174" customFormat="1" ht="15" customHeight="1" x14ac:dyDescent="0.4"/>
    <row r="184" s="174" customFormat="1" ht="15" customHeight="1" x14ac:dyDescent="0.4"/>
    <row r="185" s="174" customFormat="1" ht="15" customHeight="1" x14ac:dyDescent="0.4"/>
    <row r="186" s="174" customFormat="1" ht="15" customHeight="1" x14ac:dyDescent="0.4"/>
    <row r="187" s="174" customFormat="1" ht="15" customHeight="1" x14ac:dyDescent="0.4"/>
    <row r="188" s="174" customFormat="1" ht="15" customHeight="1" x14ac:dyDescent="0.4"/>
    <row r="189" s="174" customFormat="1" ht="15" customHeight="1" x14ac:dyDescent="0.4"/>
    <row r="190" s="174" customFormat="1" ht="15" customHeight="1" x14ac:dyDescent="0.4"/>
    <row r="191" s="174" customFormat="1" ht="15" customHeight="1" x14ac:dyDescent="0.4"/>
    <row r="192" s="174" customFormat="1" ht="15" customHeight="1" x14ac:dyDescent="0.4"/>
    <row r="193" s="174" customFormat="1" ht="15" customHeight="1" x14ac:dyDescent="0.4"/>
    <row r="194" s="174" customFormat="1" ht="15" customHeight="1" x14ac:dyDescent="0.4"/>
    <row r="195" s="174" customFormat="1" ht="15" customHeight="1" x14ac:dyDescent="0.4"/>
    <row r="196" s="174" customFormat="1" ht="15" customHeight="1" x14ac:dyDescent="0.4"/>
    <row r="197" s="174" customFormat="1" ht="15" customHeight="1" x14ac:dyDescent="0.4"/>
    <row r="198" s="174" customFormat="1" ht="15" customHeight="1" x14ac:dyDescent="0.4"/>
    <row r="199" s="174" customFormat="1" ht="15" customHeight="1" x14ac:dyDescent="0.4"/>
    <row r="200" s="174" customFormat="1" ht="15" customHeight="1" x14ac:dyDescent="0.4"/>
    <row r="201" s="174" customFormat="1" ht="15" customHeight="1" x14ac:dyDescent="0.4"/>
    <row r="202" s="174" customFormat="1" ht="15" customHeight="1" x14ac:dyDescent="0.4"/>
    <row r="203" s="174" customFormat="1" ht="15" customHeight="1" x14ac:dyDescent="0.4"/>
    <row r="204" s="174" customFormat="1" ht="15" customHeight="1" x14ac:dyDescent="0.4"/>
    <row r="205" s="174" customFormat="1" ht="15" customHeight="1" x14ac:dyDescent="0.4"/>
    <row r="206" s="174" customFormat="1" ht="15" customHeight="1" x14ac:dyDescent="0.4"/>
    <row r="207" s="174" customFormat="1" ht="15" customHeight="1" x14ac:dyDescent="0.4"/>
    <row r="208" s="174" customFormat="1" ht="15" customHeight="1" x14ac:dyDescent="0.4"/>
    <row r="209" s="174" customFormat="1" ht="15" customHeight="1" x14ac:dyDescent="0.4"/>
    <row r="210" s="174" customFormat="1" ht="15" customHeight="1" x14ac:dyDescent="0.4"/>
    <row r="211" s="174" customFormat="1" ht="15" customHeight="1" x14ac:dyDescent="0.4"/>
    <row r="212" s="174" customFormat="1" ht="15" customHeight="1" x14ac:dyDescent="0.4"/>
    <row r="213" s="174" customFormat="1" ht="15" customHeight="1" x14ac:dyDescent="0.4"/>
    <row r="214" s="174" customFormat="1" ht="15" customHeight="1" x14ac:dyDescent="0.4"/>
    <row r="215" s="174" customFormat="1" ht="15" customHeight="1" x14ac:dyDescent="0.4"/>
    <row r="216" s="174" customFormat="1" ht="15" customHeight="1" x14ac:dyDescent="0.4"/>
    <row r="217" s="174" customFormat="1" ht="15" customHeight="1" x14ac:dyDescent="0.4"/>
    <row r="218" s="174" customFormat="1" ht="15" customHeight="1" x14ac:dyDescent="0.4"/>
    <row r="219" s="174" customFormat="1" ht="15" customHeight="1" x14ac:dyDescent="0.4"/>
    <row r="220" s="174" customFormat="1" ht="15" customHeight="1" x14ac:dyDescent="0.4"/>
    <row r="221" s="174" customFormat="1" ht="15" customHeight="1" x14ac:dyDescent="0.4"/>
    <row r="222" s="174" customFormat="1" ht="15" customHeight="1" x14ac:dyDescent="0.4"/>
    <row r="223" s="174" customFormat="1" ht="15" customHeight="1" x14ac:dyDescent="0.4"/>
    <row r="224" s="174" customFormat="1" ht="15" customHeight="1" x14ac:dyDescent="0.4"/>
    <row r="225" s="174" customFormat="1" ht="15" customHeight="1" x14ac:dyDescent="0.4"/>
    <row r="226" s="174" customFormat="1" ht="15" customHeight="1" x14ac:dyDescent="0.4"/>
    <row r="227" s="174" customFormat="1" ht="15" customHeight="1" x14ac:dyDescent="0.4"/>
    <row r="228" s="174" customFormat="1" ht="15" customHeight="1" x14ac:dyDescent="0.4"/>
    <row r="229" s="174" customFormat="1" ht="15" customHeight="1" x14ac:dyDescent="0.4"/>
    <row r="230" s="174" customFormat="1" ht="15" customHeight="1" x14ac:dyDescent="0.4"/>
    <row r="231" s="174" customFormat="1" ht="15" customHeight="1" x14ac:dyDescent="0.4"/>
    <row r="232" s="174" customFormat="1" ht="15" customHeight="1" x14ac:dyDescent="0.4"/>
    <row r="233" s="174" customFormat="1" ht="15" customHeight="1" x14ac:dyDescent="0.4"/>
    <row r="234" s="174" customFormat="1" ht="15" customHeight="1" x14ac:dyDescent="0.4"/>
    <row r="235" s="174" customFormat="1" ht="15" customHeight="1" x14ac:dyDescent="0.4"/>
    <row r="236" s="174" customFormat="1" ht="15" customHeight="1" x14ac:dyDescent="0.4"/>
    <row r="237" s="174" customFormat="1" ht="15" customHeight="1" x14ac:dyDescent="0.4"/>
    <row r="238" s="174" customFormat="1" ht="15" customHeight="1" x14ac:dyDescent="0.4"/>
    <row r="239" s="174" customFormat="1" ht="15" customHeight="1" x14ac:dyDescent="0.4"/>
    <row r="240" s="174" customFormat="1" ht="15" customHeight="1" x14ac:dyDescent="0.4"/>
    <row r="241" s="174" customFormat="1" ht="15" customHeight="1" x14ac:dyDescent="0.4"/>
    <row r="242" s="174" customFormat="1" ht="15" customHeight="1" x14ac:dyDescent="0.4"/>
    <row r="243" s="174" customFormat="1" ht="15" customHeight="1" x14ac:dyDescent="0.4"/>
    <row r="244" s="174" customFormat="1" ht="15" customHeight="1" x14ac:dyDescent="0.4"/>
    <row r="245" s="174" customFormat="1" ht="15" customHeight="1" x14ac:dyDescent="0.4"/>
    <row r="246" s="174" customFormat="1" ht="15" customHeight="1" x14ac:dyDescent="0.4"/>
    <row r="247" s="174" customFormat="1" ht="15" customHeight="1" x14ac:dyDescent="0.4"/>
    <row r="248" s="174" customFormat="1" ht="15" customHeight="1" x14ac:dyDescent="0.4"/>
    <row r="249" s="174" customFormat="1" ht="15" customHeight="1" x14ac:dyDescent="0.4"/>
    <row r="250" s="174" customFormat="1" ht="15" customHeight="1" x14ac:dyDescent="0.4"/>
    <row r="251" s="174" customFormat="1" ht="15" customHeight="1" x14ac:dyDescent="0.4"/>
    <row r="252" s="174" customFormat="1" ht="15" customHeight="1" x14ac:dyDescent="0.4"/>
    <row r="253" s="174" customFormat="1" ht="15" customHeight="1" x14ac:dyDescent="0.4"/>
    <row r="254" s="174" customFormat="1" ht="15" customHeight="1" x14ac:dyDescent="0.4"/>
    <row r="255" s="174" customFormat="1" ht="15" customHeight="1" x14ac:dyDescent="0.4"/>
    <row r="256" s="174" customFormat="1" ht="15" customHeight="1" x14ac:dyDescent="0.4"/>
    <row r="257" s="174" customFormat="1" ht="15" customHeight="1" x14ac:dyDescent="0.4"/>
    <row r="258" s="174" customFormat="1" ht="15" customHeight="1" x14ac:dyDescent="0.4"/>
    <row r="259" s="174" customFormat="1" ht="15" customHeight="1" x14ac:dyDescent="0.4"/>
    <row r="260" s="174" customFormat="1" ht="15" customHeight="1" x14ac:dyDescent="0.4"/>
    <row r="261" s="174" customFormat="1" ht="15" customHeight="1" x14ac:dyDescent="0.4"/>
    <row r="262" s="174" customFormat="1" ht="15" customHeight="1" x14ac:dyDescent="0.4"/>
    <row r="263" s="174" customFormat="1" ht="15" customHeight="1" x14ac:dyDescent="0.4"/>
    <row r="264" s="174" customFormat="1" ht="15" customHeight="1" x14ac:dyDescent="0.4"/>
    <row r="265" s="174" customFormat="1" ht="15" customHeight="1" x14ac:dyDescent="0.4"/>
    <row r="266" s="174" customFormat="1" ht="15" customHeight="1" x14ac:dyDescent="0.4"/>
    <row r="267" s="174" customFormat="1" ht="15" customHeight="1" x14ac:dyDescent="0.4"/>
    <row r="268" s="174" customFormat="1" ht="15" customHeight="1" x14ac:dyDescent="0.4"/>
    <row r="269" s="174" customFormat="1" ht="15" customHeight="1" x14ac:dyDescent="0.4"/>
    <row r="270" s="174" customFormat="1" ht="15" customHeight="1" x14ac:dyDescent="0.4"/>
    <row r="271" s="174" customFormat="1" ht="15" customHeight="1" x14ac:dyDescent="0.4"/>
    <row r="272" s="174" customFormat="1" ht="15" customHeight="1" x14ac:dyDescent="0.4"/>
    <row r="273" s="174" customFormat="1" ht="15" customHeight="1" x14ac:dyDescent="0.4"/>
    <row r="274" s="174" customFormat="1" ht="15" customHeight="1" x14ac:dyDescent="0.4"/>
    <row r="275" s="174" customFormat="1" ht="15" customHeight="1" x14ac:dyDescent="0.4"/>
    <row r="276" s="174" customFormat="1" ht="15" customHeight="1" x14ac:dyDescent="0.4"/>
    <row r="277" s="174" customFormat="1" ht="15" customHeight="1" x14ac:dyDescent="0.4"/>
    <row r="278" s="174" customFormat="1" ht="15" customHeight="1" x14ac:dyDescent="0.4"/>
    <row r="279" s="174" customFormat="1" ht="15" customHeight="1" x14ac:dyDescent="0.4"/>
    <row r="280" s="174" customFormat="1" ht="15" customHeight="1" x14ac:dyDescent="0.4"/>
    <row r="281" s="174" customFormat="1" ht="15" customHeight="1" x14ac:dyDescent="0.4"/>
    <row r="282" s="174" customFormat="1" ht="15" customHeight="1" x14ac:dyDescent="0.4"/>
    <row r="283" s="174" customFormat="1" ht="15" customHeight="1" x14ac:dyDescent="0.4"/>
    <row r="284" s="174" customFormat="1" ht="15" customHeight="1" x14ac:dyDescent="0.4"/>
    <row r="285" s="174" customFormat="1" ht="15" customHeight="1" x14ac:dyDescent="0.4"/>
    <row r="286" s="174" customFormat="1" ht="15" customHeight="1" x14ac:dyDescent="0.4"/>
    <row r="287" s="174" customFormat="1" ht="15" customHeight="1" x14ac:dyDescent="0.4"/>
    <row r="288" s="174" customFormat="1" ht="15" customHeight="1" x14ac:dyDescent="0.4"/>
    <row r="289" s="174" customFormat="1" ht="15" customHeight="1" x14ac:dyDescent="0.4"/>
    <row r="290" s="174" customFormat="1" ht="15" customHeight="1" x14ac:dyDescent="0.4"/>
    <row r="291" s="174" customFormat="1" ht="15" customHeight="1" x14ac:dyDescent="0.4"/>
    <row r="292" s="174" customFormat="1" ht="15" customHeight="1" x14ac:dyDescent="0.4"/>
    <row r="293" s="174" customFormat="1" ht="15" customHeight="1" x14ac:dyDescent="0.4"/>
    <row r="294" s="174" customFormat="1" ht="15" customHeight="1" x14ac:dyDescent="0.4"/>
    <row r="295" s="174" customFormat="1" ht="15" customHeight="1" x14ac:dyDescent="0.4"/>
    <row r="296" s="174" customFormat="1" ht="15" customHeight="1" x14ac:dyDescent="0.4"/>
    <row r="297" s="174" customFormat="1" ht="15" customHeight="1" x14ac:dyDescent="0.4"/>
    <row r="298" s="174" customFormat="1" ht="15" customHeight="1" x14ac:dyDescent="0.4"/>
    <row r="299" s="174" customFormat="1" ht="15" customHeight="1" x14ac:dyDescent="0.4"/>
    <row r="300" s="174" customFormat="1" ht="15" customHeight="1" x14ac:dyDescent="0.4"/>
    <row r="301" s="174" customFormat="1" ht="15" customHeight="1" x14ac:dyDescent="0.4"/>
    <row r="302" s="174" customFormat="1" ht="15" customHeight="1" x14ac:dyDescent="0.4"/>
    <row r="303" s="174" customFormat="1" ht="15" customHeight="1" x14ac:dyDescent="0.4"/>
    <row r="304" s="174" customFormat="1" ht="15" customHeight="1" x14ac:dyDescent="0.4"/>
    <row r="305" s="174" customFormat="1" ht="15" customHeight="1" x14ac:dyDescent="0.4"/>
    <row r="306" s="174" customFormat="1" ht="15" customHeight="1" x14ac:dyDescent="0.4"/>
    <row r="307" s="174" customFormat="1" ht="15" customHeight="1" x14ac:dyDescent="0.4"/>
    <row r="308" s="174" customFormat="1" ht="15" customHeight="1" x14ac:dyDescent="0.4"/>
    <row r="309" s="174" customFormat="1" ht="15" customHeight="1" x14ac:dyDescent="0.4"/>
    <row r="310" s="174" customFormat="1" ht="15" customHeight="1" x14ac:dyDescent="0.4"/>
    <row r="311" s="174" customFormat="1" ht="15" customHeight="1" x14ac:dyDescent="0.4"/>
    <row r="312" s="174" customFormat="1" ht="15" customHeight="1" x14ac:dyDescent="0.4"/>
    <row r="313" s="174" customFormat="1" ht="15" customHeight="1" x14ac:dyDescent="0.4"/>
    <row r="314" s="174" customFormat="1" ht="15" customHeight="1" x14ac:dyDescent="0.4"/>
    <row r="315" s="174" customFormat="1" ht="15" customHeight="1" x14ac:dyDescent="0.4"/>
    <row r="316" s="174" customFormat="1" ht="15" customHeight="1" x14ac:dyDescent="0.4"/>
    <row r="317" s="174" customFormat="1" ht="15" customHeight="1" x14ac:dyDescent="0.4"/>
    <row r="318" s="174" customFormat="1" ht="15" customHeight="1" x14ac:dyDescent="0.4"/>
    <row r="319" s="174" customFormat="1" ht="15" customHeight="1" x14ac:dyDescent="0.4"/>
    <row r="320" s="174" customFormat="1" ht="15" customHeight="1" x14ac:dyDescent="0.4"/>
    <row r="321" s="174" customFormat="1" ht="15" customHeight="1" x14ac:dyDescent="0.4"/>
    <row r="322" s="174" customFormat="1" ht="15" customHeight="1" x14ac:dyDescent="0.4"/>
    <row r="323" s="174" customFormat="1" ht="15" customHeight="1" x14ac:dyDescent="0.4"/>
    <row r="324" s="174" customFormat="1" ht="15" customHeight="1" x14ac:dyDescent="0.4"/>
    <row r="325" s="174" customFormat="1" ht="15" customHeight="1" x14ac:dyDescent="0.4"/>
    <row r="326" s="174" customFormat="1" ht="15" customHeight="1" x14ac:dyDescent="0.4"/>
    <row r="327" s="174" customFormat="1" ht="15" customHeight="1" x14ac:dyDescent="0.4"/>
    <row r="328" s="174" customFormat="1" ht="15" customHeight="1" x14ac:dyDescent="0.4"/>
    <row r="329" s="174" customFormat="1" ht="15" customHeight="1" x14ac:dyDescent="0.4"/>
    <row r="330" s="174" customFormat="1" ht="15" customHeight="1" x14ac:dyDescent="0.4"/>
    <row r="331" s="174" customFormat="1" ht="15" customHeight="1" x14ac:dyDescent="0.4"/>
    <row r="332" s="174" customFormat="1" ht="15" customHeight="1" x14ac:dyDescent="0.4"/>
    <row r="333" s="174" customFormat="1" ht="15" customHeight="1" x14ac:dyDescent="0.4"/>
    <row r="334" s="174" customFormat="1" ht="15" customHeight="1" x14ac:dyDescent="0.4"/>
    <row r="335" s="174" customFormat="1" ht="15" customHeight="1" x14ac:dyDescent="0.4"/>
    <row r="336" s="174" customFormat="1" ht="15" customHeight="1" x14ac:dyDescent="0.4"/>
    <row r="337" s="174" customFormat="1" ht="15" customHeight="1" x14ac:dyDescent="0.4"/>
    <row r="338" s="174" customFormat="1" ht="15" customHeight="1" x14ac:dyDescent="0.4"/>
    <row r="339" s="174" customFormat="1" ht="15" customHeight="1" x14ac:dyDescent="0.4"/>
    <row r="340" s="174" customFormat="1" ht="15" customHeight="1" x14ac:dyDescent="0.4"/>
    <row r="341" s="174" customFormat="1" ht="15" customHeight="1" x14ac:dyDescent="0.4"/>
    <row r="342" s="174" customFormat="1" ht="15" customHeight="1" x14ac:dyDescent="0.4"/>
    <row r="343" s="174" customFormat="1" ht="15" customHeight="1" x14ac:dyDescent="0.4"/>
    <row r="344" s="174" customFormat="1" ht="15" customHeight="1" x14ac:dyDescent="0.4"/>
    <row r="345" s="174" customFormat="1" ht="15" customHeight="1" x14ac:dyDescent="0.4"/>
    <row r="346" s="174" customFormat="1" ht="15" customHeight="1" x14ac:dyDescent="0.4"/>
    <row r="347" s="174" customFormat="1" ht="15" customHeight="1" x14ac:dyDescent="0.4"/>
    <row r="348" s="174" customFormat="1" ht="15" customHeight="1" x14ac:dyDescent="0.4"/>
    <row r="349" s="174" customFormat="1" ht="15" customHeight="1" x14ac:dyDescent="0.4"/>
    <row r="350" s="174" customFormat="1" ht="15" customHeight="1" x14ac:dyDescent="0.4"/>
    <row r="351" s="174" customFormat="1" ht="15" customHeight="1" x14ac:dyDescent="0.4"/>
    <row r="352" s="174" customFormat="1" ht="15" customHeight="1" x14ac:dyDescent="0.4"/>
    <row r="353" s="174" customFormat="1" ht="15" customHeight="1" x14ac:dyDescent="0.4"/>
    <row r="354" s="174" customFormat="1" ht="15" customHeight="1" x14ac:dyDescent="0.4"/>
    <row r="355" s="174" customFormat="1" ht="15" customHeight="1" x14ac:dyDescent="0.4"/>
    <row r="356" s="174" customFormat="1" ht="15" customHeight="1" x14ac:dyDescent="0.4"/>
    <row r="357" s="174" customFormat="1" ht="15" customHeight="1" x14ac:dyDescent="0.4"/>
    <row r="358" s="174" customFormat="1" ht="15" customHeight="1" x14ac:dyDescent="0.4"/>
    <row r="359" s="174" customFormat="1" ht="15" customHeight="1" x14ac:dyDescent="0.4"/>
    <row r="360" s="174" customFormat="1" ht="15" customHeight="1" x14ac:dyDescent="0.4"/>
    <row r="361" s="174" customFormat="1" ht="15" customHeight="1" x14ac:dyDescent="0.4"/>
    <row r="362" s="174" customFormat="1" ht="15" customHeight="1" x14ac:dyDescent="0.4"/>
    <row r="363" s="174" customFormat="1" ht="15" customHeight="1" x14ac:dyDescent="0.4"/>
    <row r="364" s="174" customFormat="1" ht="15" customHeight="1" x14ac:dyDescent="0.4"/>
    <row r="365" s="174" customFormat="1" ht="15" customHeight="1" x14ac:dyDescent="0.4"/>
    <row r="366" s="174" customFormat="1" ht="15" customHeight="1" x14ac:dyDescent="0.4"/>
    <row r="367" s="174" customFormat="1" ht="15" customHeight="1" x14ac:dyDescent="0.4"/>
    <row r="368" s="174" customFormat="1" ht="15" customHeight="1" x14ac:dyDescent="0.4"/>
    <row r="369" s="174" customFormat="1" ht="15" customHeight="1" x14ac:dyDescent="0.4"/>
    <row r="370" s="174" customFormat="1" ht="15" customHeight="1" x14ac:dyDescent="0.4"/>
    <row r="371" s="174" customFormat="1" ht="15" customHeight="1" x14ac:dyDescent="0.4"/>
    <row r="372" s="174" customFormat="1" ht="15" customHeight="1" x14ac:dyDescent="0.4"/>
    <row r="373" s="174" customFormat="1" ht="15" customHeight="1" x14ac:dyDescent="0.4"/>
    <row r="374" s="174" customFormat="1" ht="15" customHeight="1" x14ac:dyDescent="0.4"/>
    <row r="375" s="174" customFormat="1" ht="15" customHeight="1" x14ac:dyDescent="0.4"/>
    <row r="376" s="174" customFormat="1" ht="15" customHeight="1" x14ac:dyDescent="0.4"/>
    <row r="377" s="174" customFormat="1" ht="15" customHeight="1" x14ac:dyDescent="0.4"/>
    <row r="378" s="174" customFormat="1" ht="15" customHeight="1" x14ac:dyDescent="0.4"/>
    <row r="379" s="174" customFormat="1" ht="15" customHeight="1" x14ac:dyDescent="0.4"/>
    <row r="380" s="174" customFormat="1" ht="15" customHeight="1" x14ac:dyDescent="0.4"/>
    <row r="381" s="174" customFormat="1" ht="15" customHeight="1" x14ac:dyDescent="0.4"/>
    <row r="382" s="174" customFormat="1" ht="15" customHeight="1" x14ac:dyDescent="0.4"/>
    <row r="383" s="174" customFormat="1" ht="15" customHeight="1" x14ac:dyDescent="0.4"/>
    <row r="384" s="174" customFormat="1" ht="15" customHeight="1" x14ac:dyDescent="0.4"/>
    <row r="385" s="174" customFormat="1" ht="15" customHeight="1" x14ac:dyDescent="0.4"/>
    <row r="386" s="174" customFormat="1" ht="15" customHeight="1" x14ac:dyDescent="0.4"/>
    <row r="387" s="174" customFormat="1" ht="15" customHeight="1" x14ac:dyDescent="0.4"/>
    <row r="388" s="174" customFormat="1" ht="15" customHeight="1" x14ac:dyDescent="0.4"/>
    <row r="389" s="174" customFormat="1" ht="15" customHeight="1" x14ac:dyDescent="0.4"/>
    <row r="390" s="174" customFormat="1" ht="15" customHeight="1" x14ac:dyDescent="0.4"/>
    <row r="391" s="174" customFormat="1" ht="15" customHeight="1" x14ac:dyDescent="0.4"/>
    <row r="392" s="174" customFormat="1" ht="15" customHeight="1" x14ac:dyDescent="0.4"/>
    <row r="393" s="174" customFormat="1" ht="15" customHeight="1" x14ac:dyDescent="0.4"/>
    <row r="394" s="174" customFormat="1" ht="15" customHeight="1" x14ac:dyDescent="0.4"/>
    <row r="395" s="174" customFormat="1" ht="15" customHeight="1" x14ac:dyDescent="0.4"/>
    <row r="396" s="174" customFormat="1" ht="15" customHeight="1" x14ac:dyDescent="0.4"/>
    <row r="397" s="174" customFormat="1" ht="15" customHeight="1" x14ac:dyDescent="0.4"/>
    <row r="398" s="174" customFormat="1" ht="15" customHeight="1" x14ac:dyDescent="0.4"/>
    <row r="399" s="174" customFormat="1" ht="15" customHeight="1" x14ac:dyDescent="0.4"/>
    <row r="400" s="174" customFormat="1" ht="15" customHeight="1" x14ac:dyDescent="0.4"/>
    <row r="401" s="174" customFormat="1" ht="15" customHeight="1" x14ac:dyDescent="0.4"/>
    <row r="402" s="174" customFormat="1" ht="15" customHeight="1" x14ac:dyDescent="0.4"/>
    <row r="403" s="174" customFormat="1" ht="15" customHeight="1" x14ac:dyDescent="0.4"/>
    <row r="404" s="174" customFormat="1" ht="15" customHeight="1" x14ac:dyDescent="0.4"/>
    <row r="405" s="174" customFormat="1" ht="15" customHeight="1" x14ac:dyDescent="0.4"/>
    <row r="406" s="174" customFormat="1" ht="15" customHeight="1" x14ac:dyDescent="0.4"/>
    <row r="407" s="174" customFormat="1" ht="15" customHeight="1" x14ac:dyDescent="0.4"/>
    <row r="408" s="174" customFormat="1" ht="15" customHeight="1" x14ac:dyDescent="0.4"/>
    <row r="409" s="174" customFormat="1" ht="15" customHeight="1" x14ac:dyDescent="0.4"/>
    <row r="410" s="174" customFormat="1" ht="15" customHeight="1" x14ac:dyDescent="0.4"/>
    <row r="411" s="174" customFormat="1" ht="15" customHeight="1" x14ac:dyDescent="0.4"/>
    <row r="412" s="174" customFormat="1" ht="15" customHeight="1" x14ac:dyDescent="0.4"/>
    <row r="413" s="174" customFormat="1" ht="15" customHeight="1" x14ac:dyDescent="0.4"/>
    <row r="414" s="174" customFormat="1" ht="15" customHeight="1" x14ac:dyDescent="0.4"/>
    <row r="415" s="174" customFormat="1" ht="15" customHeight="1" x14ac:dyDescent="0.4"/>
    <row r="416" s="174" customFormat="1" ht="15" customHeight="1" x14ac:dyDescent="0.4"/>
    <row r="417" s="174" customFormat="1" ht="15" customHeight="1" x14ac:dyDescent="0.4"/>
    <row r="418" s="174" customFormat="1" ht="15" customHeight="1" x14ac:dyDescent="0.4"/>
    <row r="419" s="174" customFormat="1" ht="15" customHeight="1" x14ac:dyDescent="0.4"/>
    <row r="420" s="174" customFormat="1" ht="15" customHeight="1" x14ac:dyDescent="0.4"/>
    <row r="421" s="174" customFormat="1" ht="15" customHeight="1" x14ac:dyDescent="0.4"/>
    <row r="422" s="174" customFormat="1" ht="15" customHeight="1" x14ac:dyDescent="0.4"/>
  </sheetData>
  <mergeCells count="33">
    <mergeCell ref="A30:U35"/>
    <mergeCell ref="V30:AP35"/>
    <mergeCell ref="A54:U59"/>
    <mergeCell ref="V54:AP59"/>
    <mergeCell ref="A60:U65"/>
    <mergeCell ref="V60:AP65"/>
    <mergeCell ref="A36:U41"/>
    <mergeCell ref="V36:AP41"/>
    <mergeCell ref="A42:U47"/>
    <mergeCell ref="V42:AP47"/>
    <mergeCell ref="A48:U53"/>
    <mergeCell ref="V48:AP53"/>
    <mergeCell ref="A18:U23"/>
    <mergeCell ref="V18:AP23"/>
    <mergeCell ref="A24:U29"/>
    <mergeCell ref="V24:AP29"/>
    <mergeCell ref="A12:U17"/>
    <mergeCell ref="V12:AP17"/>
    <mergeCell ref="A5:U5"/>
    <mergeCell ref="V5:AP5"/>
    <mergeCell ref="A6:U11"/>
    <mergeCell ref="AM1:AP1"/>
    <mergeCell ref="I2:M2"/>
    <mergeCell ref="N2:V2"/>
    <mergeCell ref="W2:AF2"/>
    <mergeCell ref="AG2:AL2"/>
    <mergeCell ref="AM2:AP2"/>
    <mergeCell ref="A1:G2"/>
    <mergeCell ref="I1:M1"/>
    <mergeCell ref="N1:V1"/>
    <mergeCell ref="W1:AF1"/>
    <mergeCell ref="AG1:AL1"/>
    <mergeCell ref="V6:AP11"/>
  </mergeCells>
  <phoneticPr fontId="2"/>
  <pageMargins left="0.70866141732283472" right="0.70866141732283472" top="0.35433070866141736" bottom="0" header="0.31496062992125984" footer="0.31496062992125984"/>
  <pageSetup paperSize="9" scale="9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12</vt:i4>
      </vt:variant>
    </vt:vector>
  </HeadingPairs>
  <TitlesOfParts>
    <vt:vector size="25" baseType="lpstr">
      <vt:lpstr>基本情報入力</vt:lpstr>
      <vt:lpstr>戸籍収集引継書 </vt:lpstr>
      <vt:lpstr>送付先宛名シール</vt:lpstr>
      <vt:lpstr>送付状</vt:lpstr>
      <vt:lpstr>返送書類リスト</vt:lpstr>
      <vt:lpstr>委任状</vt:lpstr>
      <vt:lpstr>口座凍結確認書</vt:lpstr>
      <vt:lpstr>不動産・金融機関一覧</vt:lpstr>
      <vt:lpstr>【税関与あり】戸籍関係情報</vt:lpstr>
      <vt:lpstr>【税関与なし】相続人連絡先等一覧</vt:lpstr>
      <vt:lpstr>請求方法ご案内(パックのみ)※大和以外</vt:lpstr>
      <vt:lpstr>請求方法ご案内(パックのみ)※金額なし</vt:lpstr>
      <vt:lpstr>実費台紙</vt:lpstr>
      <vt:lpstr>【税関与あり】戸籍関係情報!Print_Area</vt:lpstr>
      <vt:lpstr>【税関与なし】相続人連絡先等一覧!Print_Area</vt:lpstr>
      <vt:lpstr>委任状!Print_Area</vt:lpstr>
      <vt:lpstr>基本情報入力!Print_Area</vt:lpstr>
      <vt:lpstr>'戸籍収集引継書 '!Print_Area</vt:lpstr>
      <vt:lpstr>口座凍結確認書!Print_Area</vt:lpstr>
      <vt:lpstr>実費台紙!Print_Area</vt:lpstr>
      <vt:lpstr>送付状!Print_Area</vt:lpstr>
      <vt:lpstr>送付先宛名シール!Print_Area</vt:lpstr>
      <vt:lpstr>不動産・金融機関一覧!Print_Area</vt:lpstr>
      <vt:lpstr>返送書類リスト!Print_Area</vt:lpstr>
      <vt:lpstr>担当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君島 絵梨</dc:creator>
  <cp:lastModifiedBy>宮城 明香</cp:lastModifiedBy>
  <cp:lastPrinted>2025-12-08T00:13:31Z</cp:lastPrinted>
  <dcterms:created xsi:type="dcterms:W3CDTF">2024-06-15T00:19:52Z</dcterms:created>
  <dcterms:modified xsi:type="dcterms:W3CDTF">2025-12-17T23:49:36Z</dcterms:modified>
</cp:coreProperties>
</file>